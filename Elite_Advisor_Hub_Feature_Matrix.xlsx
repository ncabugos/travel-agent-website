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Tier Pricing" sheetId="1" state="visible" r:id="rId3"/>
    <sheet name="2. Module × Tier" sheetId="2" state="visible" r:id="rId4"/>
    <sheet name="3. Routes" sheetId="3" state="visible" r:id="rId5"/>
    <sheet name="4. Add-ons" sheetId="4" state="visible" r:id="rId6"/>
    <sheet name="5. Studio" sheetId="5" state="visible" r:id="rId7"/>
    <sheet name="6. Supplier Partnerships" sheetId="6" state="visible" r:id="rId8"/>
    <sheet name="7. Pre-Launch Gaps" sheetId="7" state="visible" r:id="rId9"/>
    <sheet name="8. Demos" sheetId="8" state="visible" r:id="rId10"/>
    <sheet name="9. Legend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<sst xmlns="http://schemas.openxmlformats.org/spreadsheetml/2006/main" count="630" uniqueCount="366">
  <si>
    <t xml:space="preserve">Elite Advisor Hub — Tier Pricing (LOCKED May 2026)</t>
  </si>
  <si>
    <t xml:space="preserve">Source of truth for Stripe products, pricing-page copy, and feature gating logic. Tiers stack — upgrades add modules, never rebuild.</t>
  </si>
  <si>
    <t xml:space="preserve">Tier</t>
  </si>
  <si>
    <t xml:space="preserve">Monthly</t>
  </si>
  <si>
    <t xml:space="preserve">Setup fee</t>
  </si>
  <si>
    <t xml:space="preserve">Template options</t>
  </si>
  <si>
    <t xml:space="preserve">Villa</t>
  </si>
  <si>
    <t xml:space="preserve">Broadcast cadence</t>
  </si>
  <si>
    <t xml:space="preserve">Starter</t>
  </si>
  <si>
    <t xml:space="preserve">$89</t>
  </si>
  <si>
    <t xml:space="preserve">$499</t>
  </si>
  <si>
    <t xml:space="preserve">frontend only</t>
  </si>
  <si>
    <t xml:space="preserve">—</t>
  </si>
  <si>
    <t xml:space="preserve">1 post/month</t>
  </si>
  <si>
    <t xml:space="preserve">Growth</t>
  </si>
  <si>
    <t xml:space="preserve">$179</t>
  </si>
  <si>
    <t xml:space="preserve">$1,499</t>
  </si>
  <si>
    <t xml:space="preserve">t2 Vista or t3 Meridian</t>
  </si>
  <si>
    <t xml:space="preserve">1 post/week</t>
  </si>
  <si>
    <t xml:space="preserve">Custom</t>
  </si>
  <si>
    <t xml:space="preserve">$349</t>
  </si>
  <si>
    <t xml:space="preserve">$2,999</t>
  </si>
  <si>
    <t xml:space="preserve">any (incl. t4 Casa Solis)</t>
  </si>
  <si>
    <t xml:space="preserve">Included</t>
  </si>
  <si>
    <t xml:space="preserve">2 posts/week + topic requests</t>
  </si>
  <si>
    <t xml:space="preserve">Agency</t>
  </si>
  <si>
    <t xml:space="preserve">from $899</t>
  </si>
  <si>
    <t xml:space="preserve">from $4,999</t>
  </si>
  <si>
    <t xml:space="preserve">typically t2</t>
  </si>
  <si>
    <t xml:space="preserve">2 posts/week per advisor, co-authored option</t>
  </si>
  <si>
    <t xml:space="preserve">Who it's for</t>
  </si>
  <si>
    <t xml:space="preserve">Solo advisor, just getting online. Sub-$50k commission volume.</t>
  </si>
  <si>
    <t xml:space="preserve">Featured hotel programs (curated ~10) · Featured cruise partners · Brand pages · Journal · Contact · Custom domain · Email support</t>
  </si>
  <si>
    <t xml:space="preserve">Established solo advisor, $50k–$250k commission volume.</t>
  </si>
  <si>
    <t xml:space="preserve">Searchable hotel directory (full Virtuoso catalog) · Searchable cruise directory · Experiences module · Instagram feed · Testimonials · Plan-a-trip wizard · Priority email support</t>
  </si>
  <si>
    <t xml:space="preserve">Top-tier advisor with established brand. $250k+ commission volume.</t>
  </si>
  <si>
    <t xml:space="preserve">Custom palette/typography · 1–2 bespoke landing pages · Premium modules (Press, Atelier, video hero) · Villa module · Annual design refresh · Slack/text support · White-glove onboarding</t>
  </si>
  <si>
    <t xml:space="preserve">Multi-advisor agencies, 3–25 advisors.</t>
  </si>
  <si>
    <t xml:space="preserve">Advisor directory · Lead routing by advisor · Multi-user portal · Agency-admin role · White-label option · Per-advisor billing attribution · Dedicated success manager</t>
  </si>
  <si>
    <t xml:space="preserve">Brand positioning</t>
  </si>
  <si>
    <t xml:space="preserve">EAH is for the top 1% of travel advisors — invitation-worthy, not commodity. Pricing reflects floor, not discount. See docs/brand-positioning.md.</t>
  </si>
  <si>
    <t xml:space="preserve">Module × Tier Matrix</t>
  </si>
  <si>
    <t xml:space="preserve">Which modules render on which tier. ✓ = included, — = excluded, ○ = optional/add-on. Core modules (M05/M06/M07/M09/M10/M18/M20) appear on every tier.</t>
  </si>
  <si>
    <t xml:space="preserve">ID</t>
  </si>
  <si>
    <t xml:space="preserve">Module</t>
  </si>
  <si>
    <t xml:space="preserve">Description</t>
  </si>
  <si>
    <t xml:space="preserve">M01</t>
  </si>
  <si>
    <t xml:space="preserve">Home Hero</t>
  </si>
  <si>
    <t xml:space="preserve">Top-of-page advisor identity treatment. Template-specific.</t>
  </si>
  <si>
    <t xml:space="preserve">✓</t>
  </si>
  <si>
    <t xml:space="preserve">M02</t>
  </si>
  <si>
    <t xml:space="preserve">Tagline + Intro</t>
  </si>
  <si>
    <t xml:space="preserve">Above-fold positioning statement under the hero.</t>
  </si>
  <si>
    <t xml:space="preserve">M03</t>
  </si>
  <si>
    <t xml:space="preserve">Service Cards</t>
  </si>
  <si>
    <t xml:space="preserve">3–4 service tier cards (Trip Planning, Concierge, etc.). T3 missing — P1 build.</t>
  </si>
  <si>
    <t xml:space="preserve">M04</t>
  </si>
  <si>
    <t xml:space="preserve">Why Use an Advisor</t>
  </si>
  <si>
    <t xml:space="preserve">Editorial trust-building section. Optional on Starter.</t>
  </si>
  <si>
    <t xml:space="preserve">○</t>
  </si>
  <si>
    <t xml:space="preserve">M05</t>
  </si>
  <si>
    <t xml:space="preserve">Virtuoso</t>
  </si>
  <si>
    <t xml:space="preserve">Virtuoso affiliation badge + brand page. Required everywhere.</t>
  </si>
  <si>
    <t xml:space="preserve">M06</t>
  </si>
  <si>
    <t xml:space="preserve">Partner Tabs</t>
  </si>
  <si>
    <t xml:space="preserve">Aman / Belmond / Four Seasons / Rosewood etc. tabbed brand pages.</t>
  </si>
  <si>
    <t xml:space="preserve">M07</t>
  </si>
  <si>
    <t xml:space="preserve">Hotel Programs Teaser</t>
  </si>
  <si>
    <t xml:space="preserve">Curated 3–6 hotel program logos on home (always teaser).</t>
  </si>
  <si>
    <t xml:space="preserve">M07a</t>
  </si>
  <si>
    <t xml:space="preserve">Hotel Programs Curated Grid</t>
  </si>
  <si>
    <t xml:space="preserve">Full curated grid (~10 programs). Starter only — non-searchable.</t>
  </si>
  <si>
    <t xml:space="preserve">M07b</t>
  </si>
  <si>
    <t xml:space="preserve">Hotel Programs Searchable Directory</t>
  </si>
  <si>
    <t xml:space="preserve">Full Virtuoso catalog with filtering. Growth+.</t>
  </si>
  <si>
    <t xml:space="preserve">M08</t>
  </si>
  <si>
    <t xml:space="preserve">Cruise Partners Teaser</t>
  </si>
  <si>
    <t xml:space="preserve">Curated cruise-line logos on home.</t>
  </si>
  <si>
    <t xml:space="preserve">M08a</t>
  </si>
  <si>
    <t xml:space="preserve">Cruise Partners Curated Grid</t>
  </si>
  <si>
    <t xml:space="preserve">Starter version — non-searchable.</t>
  </si>
  <si>
    <t xml:space="preserve">M08b</t>
  </si>
  <si>
    <t xml:space="preserve">Cruise Partners Searchable Directory</t>
  </si>
  <si>
    <t xml:space="preserve">Filterable cruise catalog.</t>
  </si>
  <si>
    <t xml:space="preserve">M09</t>
  </si>
  <si>
    <t xml:space="preserve">Brand Page — Hotel</t>
  </si>
  <si>
    <t xml:space="preserve">/book-hotel/[slug] detail page per hotel program.</t>
  </si>
  <si>
    <t xml:space="preserve">M10</t>
  </si>
  <si>
    <t xml:space="preserve">Brand Page — Cruise</t>
  </si>
  <si>
    <t xml:space="preserve">/find-cruise/[slug] detail page per cruise line.</t>
  </si>
  <si>
    <t xml:space="preserve">M11</t>
  </si>
  <si>
    <t xml:space="preserve">Experiences</t>
  </si>
  <si>
    <t xml:space="preserve">Curated experiences/trip ideas module. Growth+.</t>
  </si>
  <si>
    <t xml:space="preserve">M12</t>
  </si>
  <si>
    <t xml:space="preserve">Villas</t>
  </si>
  <si>
    <t xml:space="preserve">Villa catalog (specialized). Custom+ only — catalog still being refined.</t>
  </si>
  <si>
    <t xml:space="preserve">M13</t>
  </si>
  <si>
    <t xml:space="preserve">Plan-a-Trip Wizard</t>
  </si>
  <si>
    <t xml:space="preserve">Lead-gen form with destination + dates + budget.</t>
  </si>
  <si>
    <t xml:space="preserve">M14</t>
  </si>
  <si>
    <t xml:space="preserve">Instagram Feed</t>
  </si>
  <si>
    <t xml:space="preserve">Embedded IG feed on home. Growth+.</t>
  </si>
  <si>
    <t xml:space="preserve">M15</t>
  </si>
  <si>
    <t xml:space="preserve">Testimonials Grid</t>
  </si>
  <si>
    <t xml:space="preserve">Client testimonials section.</t>
  </si>
  <si>
    <t xml:space="preserve">M16</t>
  </si>
  <si>
    <t xml:space="preserve">Press / Media</t>
  </si>
  <si>
    <t xml:space="preserve">Featured press logos. Custom premium module.</t>
  </si>
  <si>
    <t xml:space="preserve">M17</t>
  </si>
  <si>
    <t xml:space="preserve">Atelier / Portfolio</t>
  </si>
  <si>
    <t xml:space="preserve">Editorial portfolio of recent trips. Custom premium.</t>
  </si>
  <si>
    <t xml:space="preserve">M18</t>
  </si>
  <si>
    <t xml:space="preserve">Journal Teaser</t>
  </si>
  <si>
    <t xml:space="preserve">Featured journal posts on home. Required everywhere.</t>
  </si>
  <si>
    <t xml:space="preserve">M18a</t>
  </si>
  <si>
    <t xml:space="preserve">Journal Index Page</t>
  </si>
  <si>
    <t xml:space="preserve">/journal listing — required everywhere.</t>
  </si>
  <si>
    <t xml:space="preserve">M18b</t>
  </si>
  <si>
    <t xml:space="preserve">Journal Post Page</t>
  </si>
  <si>
    <t xml:space="preserve">/journal/[slug] — required everywhere.</t>
  </si>
  <si>
    <t xml:space="preserve">M19</t>
  </si>
  <si>
    <t xml:space="preserve">Video Hero</t>
  </si>
  <si>
    <t xml:space="preserve">Background-video hero variant. Custom premium.</t>
  </si>
  <si>
    <t xml:space="preserve">M20</t>
  </si>
  <si>
    <t xml:space="preserve">Contact Form</t>
  </si>
  <si>
    <t xml:space="preserve">/contact with inquiry capture. Required everywhere.</t>
  </si>
  <si>
    <t xml:space="preserve">M21</t>
  </si>
  <si>
    <t xml:space="preserve">Advisors Directory</t>
  </si>
  <si>
    <t xml:space="preserve">/advisors index page. Agency only.</t>
  </si>
  <si>
    <t xml:space="preserve">M22</t>
  </si>
  <si>
    <t xml:space="preserve">Advisor Profile Page</t>
  </si>
  <si>
    <t xml:space="preserve">/advisors/[slug] individual bios. Agency only.</t>
  </si>
  <si>
    <t xml:space="preserve">M23</t>
  </si>
  <si>
    <t xml:space="preserve">Lead Routing UI</t>
  </si>
  <si>
    <t xml:space="preserve">Admin/portal feature: route inquiries to specific advisor.</t>
  </si>
  <si>
    <t xml:space="preserve">M24</t>
  </si>
  <si>
    <t xml:space="preserve">White-label Option</t>
  </si>
  <si>
    <t xml:space="preserve">Remove 'Powered by EAH' footer. Agency, or one-time $999 add-on for Custom.</t>
  </si>
  <si>
    <t xml:space="preserve">Required Routes per Tier</t>
  </si>
  <si>
    <t xml:space="preserve">Public-site routes only. Admin (/admin) and agent portal (/agent-portal) are tier-independent.</t>
  </si>
  <si>
    <t xml:space="preserve">Route</t>
  </si>
  <si>
    <t xml:space="preserve">/</t>
  </si>
  <si>
    <t xml:space="preserve">/about</t>
  </si>
  <si>
    <t xml:space="preserve">/contact</t>
  </si>
  <si>
    <t xml:space="preserve">/plan-a-trip</t>
  </si>
  <si>
    <t xml:space="preserve">/book-hotel (curated programs grid)</t>
  </si>
  <si>
    <t xml:space="preserve">/book-hotel (searchable directory)</t>
  </si>
  <si>
    <t xml:space="preserve">/book-hotel/[slug] (brand page)</t>
  </si>
  <si>
    <t xml:space="preserve">/find-cruise (curated partners grid)</t>
  </si>
  <si>
    <t xml:space="preserve">/find-cruise (searchable directory)</t>
  </si>
  <si>
    <t xml:space="preserve">/find-cruise/[slug] (brand page)</t>
  </si>
  <si>
    <t xml:space="preserve">/experiences</t>
  </si>
  <si>
    <t xml:space="preserve">/book-villa</t>
  </si>
  <si>
    <t xml:space="preserve">/journal + /journal/[slug]</t>
  </si>
  <si>
    <t xml:space="preserve">/advisors</t>
  </si>
  <si>
    <t xml:space="preserve">/advisors/[slug]</t>
  </si>
  <si>
    <t xml:space="preserve">Total required routes</t>
  </si>
  <si>
    <t xml:space="preserve">Add-on Products (pure-margin attach revenue)</t>
  </si>
  <si>
    <t xml:space="preserve">Sold alongside any SaaS tier. Plan now, build in priority order after launch.</t>
  </si>
  <si>
    <t xml:space="preserve">Add-on</t>
  </si>
  <si>
    <t xml:space="preserve">Price</t>
  </si>
  <si>
    <t xml:space="preserve">Billing</t>
  </si>
  <si>
    <t xml:space="preserve">What it includes</t>
  </si>
  <si>
    <t xml:space="preserve">Domain Registration + DNS</t>
  </si>
  <si>
    <t xml:space="preserve">$19/mo</t>
  </si>
  <si>
    <t xml:space="preserve">or $99/yr</t>
  </si>
  <si>
    <t xml:space="preserve">EAH brokers domain registration, manages DNS records, handles renewals. Solves the #1 friction point in onboarding.</t>
  </si>
  <si>
    <t xml:space="preserve">Logo + Brand Identity</t>
  </si>
  <si>
    <t xml:space="preserve">one-time</t>
  </si>
  <si>
    <t xml:space="preserve">Logo design + color palette + typography pairing + 1 round of revisions. Partner with one designer or AI-assisted.</t>
  </si>
  <si>
    <t xml:space="preserve">Email Marketing Connector</t>
  </si>
  <si>
    <t xml:space="preserve">$39/mo</t>
  </si>
  <si>
    <t xml:space="preserve">recurring</t>
  </si>
  <si>
    <t xml:space="preserve">Klaviyo or Mailchimp integration. Push blog posts to advisor's list automatically. CSV export of inquiries to email lists.</t>
  </si>
  <si>
    <t xml:space="preserve">CRM Connector</t>
  </si>
  <si>
    <t xml:space="preserve">$29/mo</t>
  </si>
  <si>
    <t xml:space="preserve">HubSpot or Wealthbox sync. Inquiries land in advisor's CRM as deals.</t>
  </si>
  <si>
    <t xml:space="preserve">Stock Photography Library</t>
  </si>
  <si>
    <t xml:space="preserve">Licensed image bank curated for luxury travel. Removes Adobe Stock subscription cost for advisor.</t>
  </si>
  <si>
    <t xml:space="preserve">Villa Module (Growth)</t>
  </si>
  <si>
    <t xml:space="preserve">Add the villa catalog to Growth tier. Custom and Agency include it free.</t>
  </si>
  <si>
    <t xml:space="preserve">White-label Footer Removal</t>
  </si>
  <si>
    <t xml:space="preserve">$999</t>
  </si>
  <si>
    <t xml:space="preserve">Remove 'Powered by EAH' footer. Custom-tier advisors only — Agency includes free.</t>
  </si>
  <si>
    <t xml:space="preserve">Aurora Trip Composer (preview)</t>
  </si>
  <si>
    <t xml:space="preserve">TBD</t>
  </si>
  <si>
    <t xml:space="preserve">future</t>
  </si>
  <si>
    <t xml:space="preserve">Year-2 product — opens to existing Custom advisors at $200/mo add-on after Signature tier proves cost model.</t>
  </si>
  <si>
    <t xml:space="preserve">Studio — Content Syndication Product Layer</t>
  </si>
  <si>
    <t xml:space="preserve">Operator-produced content (articles · social · email · video scripts) that advisors rebrand and push to their own clients. Standalone subscription, OR bundled with SaaS. Launches Phase 3 (Month 9+).</t>
  </si>
  <si>
    <t xml:space="preserve">Plan</t>
  </si>
  <si>
    <t xml:space="preserve">Articles/wk</t>
  </si>
  <si>
    <t xml:space="preserve">Social/wk</t>
  </si>
  <si>
    <t xml:space="preserve">Email/mo</t>
  </si>
  <si>
    <t xml:space="preserve">Best for</t>
  </si>
  <si>
    <t xml:space="preserve">Studio Lite</t>
  </si>
  <si>
    <t xml:space="preserve">$79/mo</t>
  </si>
  <si>
    <t xml:space="preserve">1</t>
  </si>
  <si>
    <t xml:space="preserve">3 drafts</t>
  </si>
  <si>
    <t xml:space="preserve">1 template</t>
  </si>
  <si>
    <t xml:space="preserve">Solo advisors who want a content stream. No website SaaS required.</t>
  </si>
  <si>
    <t xml:space="preserve">Studio Pro</t>
  </si>
  <si>
    <t xml:space="preserve">$149/mo</t>
  </si>
  <si>
    <t xml:space="preserve">2</t>
  </si>
  <si>
    <t xml:space="preserve">Daily drafts</t>
  </si>
  <si>
    <t xml:space="preserve">2 templates + 1 video/mo</t>
  </si>
  <si>
    <t xml:space="preserve">Established advisors actively marketing. Co-branded option available.</t>
  </si>
  <si>
    <t xml:space="preserve">Studio Agency</t>
  </si>
  <si>
    <t xml:space="preserve">$399+/mo</t>
  </si>
  <si>
    <t xml:space="preserve">Custom calendar</t>
  </si>
  <si>
    <t xml:space="preserve">Daily, multi-author</t>
  </si>
  <si>
    <t xml:space="preserve">Multi-advisor agencies. Per-seat scaling. Quarterly content strategy review.</t>
  </si>
  <si>
    <t xml:space="preserve">Bundling &amp; attach motion</t>
  </si>
  <si>
    <t xml:space="preserve">Bundle</t>
  </si>
  <si>
    <t xml:space="preserve">SaaS tier</t>
  </si>
  <si>
    <t xml:space="preserve">Studio plan</t>
  </si>
  <si>
    <t xml:space="preserve">Bundle discount</t>
  </si>
  <si>
    <t xml:space="preserve">Notes</t>
  </si>
  <si>
    <t xml:space="preserve">Growth + Lite</t>
  </si>
  <si>
    <t xml:space="preserve">50% off Studio for 6 months ($39/mo)</t>
  </si>
  <si>
    <t xml:space="preserve">First add-on offer at checkout. Drives both retention and ARPU.</t>
  </si>
  <si>
    <t xml:space="preserve">Custom + Pro</t>
  </si>
  <si>
    <t xml:space="preserve">40% off Studio for 12 months ($89/mo)</t>
  </si>
  <si>
    <t xml:space="preserve">Make Pro the default expectation at Custom tier.</t>
  </si>
  <si>
    <t xml:space="preserve">Agency bundle</t>
  </si>
  <si>
    <t xml:space="preserve">Negotiated — typically 30% off</t>
  </si>
  <si>
    <t xml:space="preserve">Built into agency contract; quoted per deal.</t>
  </si>
  <si>
    <t xml:space="preserve">Supplier Partnerships — Sponsored Content Network</t>
  </si>
  <si>
    <t xml:space="preserve">Luxury suppliers (hotels, cruise lines, villa collections) pay EAH to distribute sponsored content across the advisor network. FTC-compliant disclosure required. Year-2 product — requires installed base of 30+ advisors first.</t>
  </si>
  <si>
    <t xml:space="preserve">Package</t>
  </si>
  <si>
    <t xml:space="preserve">Term</t>
  </si>
  <si>
    <t xml:space="preserve">What's included</t>
  </si>
  <si>
    <t xml:space="preserve">Featured Placement</t>
  </si>
  <si>
    <t xml:space="preserve">$2,500/mo</t>
  </si>
  <si>
    <t xml:space="preserve">monthly</t>
  </si>
  <si>
    <t xml:space="preserve">Sponsored card on supplier's brand page in network · Logo placement on /book-hotel or /find-cruise · 'Featured Partner' tag · Basic performance report</t>
  </si>
  <si>
    <t xml:space="preserve">Sponsored Article</t>
  </si>
  <si>
    <t xml:space="preserve">$5,000</t>
  </si>
  <si>
    <t xml:space="preserve">1 long-form journal article co-developed with supplier, distributed to advisor network (opt-in via Studio), advisor-rebranded, with disclosure</t>
  </si>
  <si>
    <t xml:space="preserve">Campaign Package</t>
  </si>
  <si>
    <t xml:space="preserve">$15,000</t>
  </si>
  <si>
    <t xml:space="preserve">60 days</t>
  </si>
  <si>
    <t xml:space="preserve">3 sponsored articles + 12 social posts + 1 email template + featured placement during campaign window + dedicated landing-page slot</t>
  </si>
  <si>
    <t xml:space="preserve">Annual Partnership</t>
  </si>
  <si>
    <t xml:space="preserve">$50,000+</t>
  </si>
  <si>
    <t xml:space="preserve">12 months</t>
  </si>
  <si>
    <t xml:space="preserve">Year-long featured partner status · Quarterly co-developed content packages · Quarterly performance reports · Dedicated account manager · First-look on new advisor cohorts</t>
  </si>
  <si>
    <t xml:space="preserve">Compliance + data model</t>
  </si>
  <si>
    <t xml:space="preserve">• FTC §255 disclosure: every sponsored asset must carry 'Sponsored by [Supplier]' or '#ad' on social. Disclosure copy is operator-controlled, not advisor-editable.</t>
  </si>
  <si>
    <t xml:space="preserve">• Existing supplier_promos table (migration 013) is the starting point. Extend with: sponsored_content_id, advertiser_id, disclosure_text, campaign_start, campaign_end, performance_metrics_json.</t>
  </si>
  <si>
    <t xml:space="preserve">• Revenue share: advisor opt-in to sponsored campaigns earns the advisor 10% of campaign attribution revenue (their content carried it). Builds advisor incentive to opt in.</t>
  </si>
  <si>
    <t xml:space="preserve">• Editorial firewall: operator (Nick) approves every sponsored asset. Suppliers do not get direct platform access. Quality bar = same as organic journal posts.</t>
  </si>
  <si>
    <t xml:space="preserve">• Reporting back to supplier: aggregated network metrics (views, click-throughs, inquiries) — never per-advisor data without explicit advisor consent.</t>
  </si>
  <si>
    <t xml:space="preserve">Pre-Launch Gap Dashboard</t>
  </si>
  <si>
    <t xml:space="preserve">What must be true before public launch (Phase 1 founder-led → Phase 2 soft public). Sourced from elite-advisor-hub-saas-map.pdf and updated for locked tier matrix.</t>
  </si>
  <si>
    <t xml:space="preserve">Priority</t>
  </si>
  <si>
    <t xml:space="preserve">Item</t>
  </si>
  <si>
    <t xml:space="preserve">Status</t>
  </si>
  <si>
    <t xml:space="preserve">P1</t>
  </si>
  <si>
    <t xml:space="preserve">New tier matrix in Stripe + pricing page</t>
  </si>
  <si>
    <t xml:space="preserve">Missing</t>
  </si>
  <si>
    <t xml:space="preserve">Block public launch. Update TIER_PRICES in lib/stripe.ts, create Stripe products for $89/$179/$349/$899+ and setup fees. Update marketing-site pricing copy.</t>
  </si>
  <si>
    <t xml:space="preserve">T3ServiceCards component</t>
  </si>
  <si>
    <t xml:space="preserve">Only blocks t3 Starter — since Starter is now locked to frontend, this becomes P2. Move to Phase 2.</t>
  </si>
  <si>
    <t xml:space="preserve">revalidatePath on advisor writes</t>
  </si>
  <si>
    <t xml:space="preserve">Without this, blog/profile edits don't surface until next SSR miss. Wire on every write path in agent-portal + admin.</t>
  </si>
  <si>
    <t xml:space="preserve">Stripe dunning on invoice.payment_failed</t>
  </si>
  <si>
    <t xml:space="preserve">Webhook handler must email advisor + grant 7-day grace before disabling subscription.</t>
  </si>
  <si>
    <t xml:space="preserve">Auto-provisioning OR documented 24h SLA</t>
  </si>
  <si>
    <t xml:space="preserve">Partial</t>
  </si>
  <si>
    <t xml:space="preserve">Manual now. Option A: one-click admin 'Provision site' button after onboarding. Option B: documented 24h promise honored by operator. A is the better long-term answer.</t>
  </si>
  <si>
    <t xml:space="preserve">GA4 + PostHog wiring</t>
  </si>
  <si>
    <t xml:space="preserve">Signup-funnel analytics. Drop-off optimization is impossible without this.</t>
  </si>
  <si>
    <t xml:space="preserve">Sanity decision (rip out or commit)</t>
  </si>
  <si>
    <t xml:space="preserve">Undecided</t>
  </si>
  <si>
    <t xml:space="preserve">~7k references but no active integration. Recommend ripping out — Supabase + Tiptap covers blog content fully.</t>
  </si>
  <si>
    <t xml:space="preserve">Brand positioning copy refresh</t>
  </si>
  <si>
    <t xml:space="preserve">Marketing site must read 'top 1%' from homepage hero through pricing. See docs/brand-positioning.md.</t>
  </si>
  <si>
    <t xml:space="preserve">P2</t>
  </si>
  <si>
    <t xml:space="preserve">Reply composer in lead inbox</t>
  </si>
  <si>
    <t xml:space="preserve">Quality-of-life — advisors currently copy/paste to mail client. Templates + 'Reply' button.</t>
  </si>
  <si>
    <t xml:space="preserve">Self-serve tier upgrade</t>
  </si>
  <si>
    <t xml:space="preserve">Stripe prorated upgrade — straightforward, drives revenue. Manual admin flow today.</t>
  </si>
  <si>
    <t xml:space="preserve">Domain verification + Vercel auto-attach</t>
  </si>
  <si>
    <t xml:space="preserve">Manual</t>
  </si>
  <si>
    <t xml:space="preserve">Self-serve domain wizard removes last non-automated step.</t>
  </si>
  <si>
    <t xml:space="preserve">Password reset / recovery</t>
  </si>
  <si>
    <t xml:space="preserve">Magic-link only; no fallback if email access lost.</t>
  </si>
  <si>
    <t xml:space="preserve">Stripe Tax / VAT</t>
  </si>
  <si>
    <t xml:space="preserve">Required for EU/UK advisors, multi-state US billing.</t>
  </si>
  <si>
    <t xml:space="preserve">P3</t>
  </si>
  <si>
    <t xml:space="preserve">AdvisorsDirectory + /advisors routes</t>
  </si>
  <si>
    <t xml:space="preserve">Agency tier blocker. Required to enhance ytc-demo. See docs/agency-demo-plan.md.</t>
  </si>
  <si>
    <t xml:space="preserve">Lead routing by advisor</t>
  </si>
  <si>
    <t xml:space="preserve">Agency tier core feature.</t>
  </si>
  <si>
    <t xml:space="preserve">Multi-author blog UI surface</t>
  </si>
  <si>
    <t xml:space="preserve">blog_posts.agent_id supports it; UI to display author bylines needs work.</t>
  </si>
  <si>
    <t xml:space="preserve">Help center / advisor docs</t>
  </si>
  <si>
    <t xml:space="preserve">Keeps support burden flat. Defer until 25 advisors.</t>
  </si>
  <si>
    <t xml:space="preserve">Data export on offboarding</t>
  </si>
  <si>
    <t xml:space="preserve">Advisor self-service export of blog + inquiries before disable.</t>
  </si>
  <si>
    <t xml:space="preserve">Counts</t>
  </si>
  <si>
    <t xml:space="preserve">P1 items</t>
  </si>
  <si>
    <t xml:space="preserve">P2 items</t>
  </si>
  <si>
    <t xml:space="preserve">P3 items</t>
  </si>
  <si>
    <t xml:space="preserve">Total tracked</t>
  </si>
  <si>
    <t xml:space="preserve">Demo Inventory &amp; Status</t>
  </si>
  <si>
    <t xml:space="preserve">Source: lib/demo-agents.ts. Demos are mock-data driven; not rows in agents table. Real DB rows (Wine &amp; Wellness, Eden) are separate.</t>
  </si>
  <si>
    <t xml:space="preserve">Slug</t>
  </si>
  <si>
    <t xml:space="preserve">Label / Brand</t>
  </si>
  <si>
    <t xml:space="preserve">Template</t>
  </si>
  <si>
    <t xml:space="preserve">Represents</t>
  </si>
  <si>
    <t xml:space="preserve">Status &amp; action</t>
  </si>
  <si>
    <t xml:space="preserve">demo-agent</t>
  </si>
  <si>
    <t xml:space="preserve">Eden — Custom (Frontend) [STALE]</t>
  </si>
  <si>
    <t xml:space="preserve">frontend</t>
  </si>
  <si>
    <t xml:space="preserve">RENAME to 'starter-demo' — conflicts with real Eden client (edenforyourworld.com). Repurpose label to 'Aspen Mountain Travel (Frontend)' or similar.</t>
  </si>
  <si>
    <t xml:space="preserve">t2-demo</t>
  </si>
  <si>
    <t xml:space="preserve">Vista — Standard (T2)</t>
  </si>
  <si>
    <t xml:space="preserve">t2</t>
  </si>
  <si>
    <t xml:space="preserve">Keep. Needs Growth-tier modules turned on: searchable hotel/cruise directories, Experiences, Instagram feed, Testimonials, Plan-a-trip.</t>
  </si>
  <si>
    <t xml:space="preserve">t3-demo</t>
  </si>
  <si>
    <t xml:space="preserve">Meridian Travel — Standard (T3)</t>
  </si>
  <si>
    <t xml:space="preserve">t3</t>
  </si>
  <si>
    <t xml:space="preserve">Keep. Needs T3ServiceCards + Growth modules. Currently in active design overhaul per tasks/todo.md.</t>
  </si>
  <si>
    <t xml:space="preserve">ytc-demo</t>
  </si>
  <si>
    <t xml:space="preserve">Your Travel Center (T2)</t>
  </si>
  <si>
    <t xml:space="preserve">ENHANCE — needs AdvisorsDirectory, /advisors routes, multi-advisor hero, lead routing UI. See docs/agency-demo-plan.md.</t>
  </si>
  <si>
    <t xml:space="preserve">wwt-demo</t>
  </si>
  <si>
    <t xml:space="preserve">Wine &amp; Wellness (T2) [RENAME]</t>
  </si>
  <si>
    <t xml:space="preserve">Wellness niche</t>
  </si>
  <si>
    <t xml:space="preserve">RENAME to 'wellness-demo' with new label 'Lumière Wellness Travel'. Frees up Wine &amp; Wellness branding for real account (custom domain wineandwellnesstravel.com).</t>
  </si>
  <si>
    <t xml:space="preserve">casa-solis</t>
  </si>
  <si>
    <t xml:space="preserve">Casa Solis — Custom (T4)</t>
  </si>
  <si>
    <t xml:space="preserve">t4</t>
  </si>
  <si>
    <t xml:space="preserve">Custom flagship</t>
  </si>
  <si>
    <t xml:space="preserve">Keep. Most polished demo. Light refresh only.</t>
  </si>
  <si>
    <t xml:space="preserve">Additional demos to build (priority order)</t>
  </si>
  <si>
    <t xml:space="preserve">Niche / use</t>
  </si>
  <si>
    <t xml:space="preserve">Purpose</t>
  </si>
  <si>
    <t xml:space="preserve">Niche: Romance/Honeymoon</t>
  </si>
  <si>
    <t xml:space="preserve">Conversion lift</t>
  </si>
  <si>
    <t xml:space="preserve">Add a romance-tier demo: heavier on testimonials, plan-a-trip, less on cruise. Slug: 'romance-demo'.</t>
  </si>
  <si>
    <t xml:space="preserve">Niche: Cruise Specialist</t>
  </si>
  <si>
    <t xml:space="preserve">Cruise-first advisor: heavy on /find-cruise directory, light on hotels. Demonstrates t3 versatility. Slug: 'cruise-demo'.</t>
  </si>
  <si>
    <t xml:space="preserve">Niche: Family Luxury</t>
  </si>
  <si>
    <t xml:space="preserve">Family advisor with kid-focused content. Different demographic. Slug: 'family-demo'.</t>
  </si>
  <si>
    <t xml:space="preserve">t5 Aurora — eliteadvisorhub.com itself</t>
  </si>
  <si>
    <t xml:space="preserve">t5</t>
  </si>
  <si>
    <t xml:space="preserve">Marketing site</t>
  </si>
  <si>
    <t xml:space="preserve">The eliteadvisorhub.com marketing site becomes the Aurora showcase. Trip composer wired to Nick's Wine &amp; Wellness catalog as the seed.</t>
  </si>
  <si>
    <t xml:space="preserve">Legend &amp; Conventions</t>
  </si>
  <si>
    <t xml:space="preserve">Symbol / Term</t>
  </si>
  <si>
    <t xml:space="preserve">Meaning</t>
  </si>
  <si>
    <t xml:space="preserve">Module/route included in tier</t>
  </si>
  <si>
    <t xml:space="preserve">Not included</t>
  </si>
  <si>
    <t xml:space="preserve">Optional / available as paid add-on</t>
  </si>
  <si>
    <t xml:space="preserve">Pre-launch blocker — must ship before public announcement</t>
  </si>
  <si>
    <t xml:space="preserve">Launch-cut item — can ship in weeks after launch</t>
  </si>
  <si>
    <t xml:space="preserve">Post-launch — can wait 90 days, often Agency-tier-only</t>
  </si>
  <si>
    <t xml:space="preserve">Tier-stack rule</t>
  </si>
  <si>
    <t xml:space="preserve">Upgrades add modules, never rebuild. A Custom site is a Growth site plus more.</t>
  </si>
  <si>
    <t xml:space="preserve">Template isolation</t>
  </si>
  <si>
    <t xml:space="preserve">t2 / t3 / t4 / t5 components live in their own folders. Cross-template primitives live in components/ui/.</t>
  </si>
  <si>
    <t xml:space="preserve">Source of truth</t>
  </si>
  <si>
    <t xml:space="preserve">This workbook. If marketing-site or Stripe contradict, fix them — not this.</t>
  </si>
</sst>
</file>

<file path=xl/styles.xml><?xml version="1.0" encoding="utf-8"?>
<styleSheet xmlns="http://schemas.openxmlformats.org/spreadsheetml/2006/main">
  <numFmts count="1">
    <numFmt numFmtId="164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10"/>
      <color rgb="FF5C647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9"/>
      <color rgb="FF5C6470"/>
      <name val="Arial"/>
      <family val="0"/>
      <charset val="1"/>
    </font>
    <font>
      <b val="true"/>
      <sz val="10"/>
      <color rgb="FF0F8A4F"/>
      <name val="Arial"/>
      <family val="0"/>
      <charset val="1"/>
    </font>
    <font>
      <b val="true"/>
      <sz val="10"/>
      <color rgb="FFCC6600"/>
      <name val="Arial"/>
      <family val="0"/>
      <charset val="1"/>
    </font>
    <font>
      <b val="true"/>
      <sz val="10"/>
      <color rgb="FF5C6470"/>
      <name val="Arial"/>
      <family val="0"/>
      <charset val="1"/>
    </font>
    <font>
      <sz val="9"/>
      <color rgb="FF000000"/>
      <name val="Arial"/>
      <family val="0"/>
      <charset val="1"/>
    </font>
    <font>
      <sz val="10"/>
      <color rgb="FF5C6470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0"/>
      <color rgb="FFCC8800"/>
      <name val="Arial"/>
      <family val="0"/>
      <charset val="1"/>
    </font>
    <font>
      <b val="true"/>
      <sz val="10"/>
      <color rgb="FF6C757D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8EEF5"/>
        <bgColor rgb="FFF4F5F7"/>
      </patternFill>
    </fill>
    <fill>
      <patternFill patternType="solid">
        <fgColor rgb="FFFFFFFF"/>
        <bgColor rgb="FFF4F5F7"/>
      </patternFill>
    </fill>
    <fill>
      <patternFill patternType="solid">
        <fgColor rgb="FFF4F5F7"/>
        <bgColor rgb="FFE8EE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8A4F"/>
      <rgbColor rgb="FFCCCCCC"/>
      <rgbColor rgb="FF6C757D"/>
      <rgbColor rgb="FF9999FF"/>
      <rgbColor rgb="FF993366"/>
      <rgbColor rgb="FFF4F5F7"/>
      <rgbColor rgb="FFE8EE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C8800"/>
      <rgbColor rgb="FFCC6600"/>
      <rgbColor rgb="FF5C6470"/>
      <rgbColor rgb="FF969696"/>
      <rgbColor rgb="FF1F3A5F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4" min="4" style="0" width="28"/>
    <col collapsed="false" customWidth="true" hidden="false" outlineLevel="0" max="5" min="5" style="0" width="14"/>
    <col collapsed="false" customWidth="true" hidden="false" outlineLevel="0" max="6" min="6" style="0" width="2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24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27.75" hidden="false" customHeight="true" outlineLevel="0" collapsed="false">
      <c r="A5" s="4" t="s">
        <v>8</v>
      </c>
      <c r="B5" s="5" t="s">
        <v>9</v>
      </c>
      <c r="C5" s="5" t="s">
        <v>10</v>
      </c>
      <c r="D5" s="6" t="s">
        <v>11</v>
      </c>
      <c r="E5" s="5" t="s">
        <v>12</v>
      </c>
      <c r="F5" s="6" t="s">
        <v>13</v>
      </c>
    </row>
    <row r="6" customFormat="false" ht="27.75" hidden="false" customHeight="true" outlineLevel="0" collapsed="false">
      <c r="A6" s="7" t="s">
        <v>14</v>
      </c>
      <c r="B6" s="8" t="s">
        <v>15</v>
      </c>
      <c r="C6" s="8" t="s">
        <v>16</v>
      </c>
      <c r="D6" s="9" t="s">
        <v>17</v>
      </c>
      <c r="E6" s="8" t="s">
        <v>12</v>
      </c>
      <c r="F6" s="9" t="s">
        <v>18</v>
      </c>
    </row>
    <row r="7" customFormat="false" ht="27.75" hidden="false" customHeight="true" outlineLevel="0" collapsed="false">
      <c r="A7" s="4" t="s">
        <v>19</v>
      </c>
      <c r="B7" s="5" t="s">
        <v>20</v>
      </c>
      <c r="C7" s="5" t="s">
        <v>21</v>
      </c>
      <c r="D7" s="6" t="s">
        <v>22</v>
      </c>
      <c r="E7" s="5" t="s">
        <v>23</v>
      </c>
      <c r="F7" s="6" t="s">
        <v>24</v>
      </c>
    </row>
    <row r="8" customFormat="false" ht="27.75" hidden="false" customHeight="true" outlineLevel="0" collapsed="false">
      <c r="A8" s="7" t="s">
        <v>25</v>
      </c>
      <c r="B8" s="8" t="s">
        <v>26</v>
      </c>
      <c r="C8" s="8" t="s">
        <v>27</v>
      </c>
      <c r="D8" s="9" t="s">
        <v>28</v>
      </c>
      <c r="E8" s="8" t="s">
        <v>23</v>
      </c>
      <c r="F8" s="9" t="s">
        <v>29</v>
      </c>
    </row>
    <row r="10" customFormat="false" ht="24" hidden="false" customHeight="true" outlineLevel="0" collapsed="false">
      <c r="A10" s="3" t="s">
        <v>2</v>
      </c>
      <c r="B10" s="3" t="s">
        <v>30</v>
      </c>
      <c r="C10" s="3"/>
      <c r="D10" s="10"/>
      <c r="E10" s="10"/>
      <c r="F10" s="10"/>
    </row>
    <row r="11" customFormat="false" ht="57.75" hidden="false" customHeight="true" outlineLevel="0" collapsed="false">
      <c r="A11" s="4" t="s">
        <v>8</v>
      </c>
      <c r="B11" s="6" t="s">
        <v>31</v>
      </c>
      <c r="C11" s="6"/>
      <c r="D11" s="6" t="s">
        <v>32</v>
      </c>
      <c r="E11" s="6"/>
      <c r="F11" s="6"/>
    </row>
    <row r="12" customFormat="false" ht="57.75" hidden="false" customHeight="true" outlineLevel="0" collapsed="false">
      <c r="A12" s="7" t="s">
        <v>14</v>
      </c>
      <c r="B12" s="9" t="s">
        <v>33</v>
      </c>
      <c r="C12" s="9"/>
      <c r="D12" s="9" t="s">
        <v>34</v>
      </c>
      <c r="E12" s="9"/>
      <c r="F12" s="9"/>
    </row>
    <row r="13" customFormat="false" ht="57.75" hidden="false" customHeight="true" outlineLevel="0" collapsed="false">
      <c r="A13" s="4" t="s">
        <v>19</v>
      </c>
      <c r="B13" s="6" t="s">
        <v>35</v>
      </c>
      <c r="C13" s="6"/>
      <c r="D13" s="6" t="s">
        <v>36</v>
      </c>
      <c r="E13" s="6"/>
      <c r="F13" s="6"/>
    </row>
    <row r="14" customFormat="false" ht="57.75" hidden="false" customHeight="true" outlineLevel="0" collapsed="false">
      <c r="A14" s="7" t="s">
        <v>25</v>
      </c>
      <c r="B14" s="9" t="s">
        <v>37</v>
      </c>
      <c r="C14" s="9"/>
      <c r="D14" s="9" t="s">
        <v>38</v>
      </c>
      <c r="E14" s="9"/>
      <c r="F14" s="9"/>
    </row>
    <row r="16" customFormat="false" ht="15" hidden="false" customHeight="false" outlineLevel="0" collapsed="false">
      <c r="A16" s="11" t="s">
        <v>39</v>
      </c>
    </row>
    <row r="18" customFormat="false" ht="27.75" hidden="false" customHeight="true" outlineLevel="0" collapsed="false">
      <c r="A18" s="12" t="s">
        <v>40</v>
      </c>
      <c r="B18" s="12"/>
      <c r="C18" s="12"/>
      <c r="D18" s="12"/>
      <c r="E18" s="12"/>
      <c r="F18" s="12"/>
    </row>
  </sheetData>
  <mergeCells count="13">
    <mergeCell ref="A1:F1"/>
    <mergeCell ref="A2:F2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A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38"/>
    <col collapsed="false" customWidth="true" hidden="false" outlineLevel="0" max="7" min="4" style="0" width="12"/>
  </cols>
  <sheetData>
    <row r="1" customFormat="false" ht="25.5" hidden="false" customHeight="true" outlineLevel="0" collapsed="false">
      <c r="A1" s="1" t="s">
        <v>41</v>
      </c>
      <c r="B1" s="1"/>
      <c r="C1" s="1"/>
      <c r="D1" s="1"/>
      <c r="E1" s="1"/>
      <c r="F1" s="1"/>
      <c r="G1" s="1"/>
    </row>
    <row r="2" customFormat="false" ht="18" hidden="false" customHeight="true" outlineLevel="0" collapsed="false">
      <c r="A2" s="2" t="s">
        <v>42</v>
      </c>
      <c r="B2" s="2"/>
      <c r="C2" s="2"/>
      <c r="D2" s="2"/>
      <c r="E2" s="2"/>
      <c r="F2" s="2"/>
      <c r="G2" s="2"/>
    </row>
    <row r="4" customFormat="false" ht="24" hidden="false" customHeight="true" outlineLevel="0" collapsed="false">
      <c r="A4" s="3" t="s">
        <v>43</v>
      </c>
      <c r="B4" s="3" t="s">
        <v>44</v>
      </c>
      <c r="C4" s="3" t="s">
        <v>45</v>
      </c>
      <c r="D4" s="3" t="s">
        <v>8</v>
      </c>
      <c r="E4" s="3" t="s">
        <v>14</v>
      </c>
      <c r="F4" s="3" t="s">
        <v>19</v>
      </c>
      <c r="G4" s="3" t="s">
        <v>25</v>
      </c>
    </row>
    <row r="5" customFormat="false" ht="31.5" hidden="false" customHeight="true" outlineLevel="0" collapsed="false">
      <c r="A5" s="13" t="s">
        <v>46</v>
      </c>
      <c r="B5" s="14" t="s">
        <v>47</v>
      </c>
      <c r="C5" s="15" t="s">
        <v>48</v>
      </c>
      <c r="D5" s="16" t="s">
        <v>49</v>
      </c>
      <c r="E5" s="16" t="s">
        <v>49</v>
      </c>
      <c r="F5" s="16" t="s">
        <v>49</v>
      </c>
      <c r="G5" s="16" t="s">
        <v>49</v>
      </c>
    </row>
    <row r="6" customFormat="false" ht="31.5" hidden="false" customHeight="true" outlineLevel="0" collapsed="false">
      <c r="A6" s="17" t="s">
        <v>50</v>
      </c>
      <c r="B6" s="7" t="s">
        <v>51</v>
      </c>
      <c r="C6" s="18" t="s">
        <v>52</v>
      </c>
      <c r="D6" s="19" t="s">
        <v>49</v>
      </c>
      <c r="E6" s="19" t="s">
        <v>49</v>
      </c>
      <c r="F6" s="19" t="s">
        <v>49</v>
      </c>
      <c r="G6" s="19" t="s">
        <v>49</v>
      </c>
    </row>
    <row r="7" customFormat="false" ht="31.5" hidden="false" customHeight="true" outlineLevel="0" collapsed="false">
      <c r="A7" s="13" t="s">
        <v>53</v>
      </c>
      <c r="B7" s="14" t="s">
        <v>54</v>
      </c>
      <c r="C7" s="15" t="s">
        <v>55</v>
      </c>
      <c r="D7" s="16" t="s">
        <v>49</v>
      </c>
      <c r="E7" s="16" t="s">
        <v>49</v>
      </c>
      <c r="F7" s="16" t="s">
        <v>49</v>
      </c>
      <c r="G7" s="16" t="s">
        <v>49</v>
      </c>
    </row>
    <row r="8" customFormat="false" ht="31.5" hidden="false" customHeight="true" outlineLevel="0" collapsed="false">
      <c r="A8" s="17" t="s">
        <v>56</v>
      </c>
      <c r="B8" s="7" t="s">
        <v>57</v>
      </c>
      <c r="C8" s="18" t="s">
        <v>58</v>
      </c>
      <c r="D8" s="20" t="s">
        <v>59</v>
      </c>
      <c r="E8" s="19" t="s">
        <v>49</v>
      </c>
      <c r="F8" s="19" t="s">
        <v>49</v>
      </c>
      <c r="G8" s="19" t="s">
        <v>49</v>
      </c>
    </row>
    <row r="9" customFormat="false" ht="31.5" hidden="false" customHeight="true" outlineLevel="0" collapsed="false">
      <c r="A9" s="13" t="s">
        <v>60</v>
      </c>
      <c r="B9" s="14" t="s">
        <v>61</v>
      </c>
      <c r="C9" s="15" t="s">
        <v>62</v>
      </c>
      <c r="D9" s="16" t="s">
        <v>49</v>
      </c>
      <c r="E9" s="16" t="s">
        <v>49</v>
      </c>
      <c r="F9" s="16" t="s">
        <v>49</v>
      </c>
      <c r="G9" s="16" t="s">
        <v>49</v>
      </c>
    </row>
    <row r="10" customFormat="false" ht="31.5" hidden="false" customHeight="true" outlineLevel="0" collapsed="false">
      <c r="A10" s="17" t="s">
        <v>63</v>
      </c>
      <c r="B10" s="7" t="s">
        <v>64</v>
      </c>
      <c r="C10" s="18" t="s">
        <v>65</v>
      </c>
      <c r="D10" s="19" t="s">
        <v>49</v>
      </c>
      <c r="E10" s="19" t="s">
        <v>49</v>
      </c>
      <c r="F10" s="19" t="s">
        <v>49</v>
      </c>
      <c r="G10" s="19" t="s">
        <v>49</v>
      </c>
    </row>
    <row r="11" customFormat="false" ht="31.5" hidden="false" customHeight="true" outlineLevel="0" collapsed="false">
      <c r="A11" s="13" t="s">
        <v>66</v>
      </c>
      <c r="B11" s="14" t="s">
        <v>67</v>
      </c>
      <c r="C11" s="15" t="s">
        <v>68</v>
      </c>
      <c r="D11" s="16" t="s">
        <v>49</v>
      </c>
      <c r="E11" s="16" t="s">
        <v>49</v>
      </c>
      <c r="F11" s="16" t="s">
        <v>49</v>
      </c>
      <c r="G11" s="16" t="s">
        <v>49</v>
      </c>
    </row>
    <row r="12" customFormat="false" ht="31.5" hidden="false" customHeight="true" outlineLevel="0" collapsed="false">
      <c r="A12" s="17" t="s">
        <v>69</v>
      </c>
      <c r="B12" s="7" t="s">
        <v>70</v>
      </c>
      <c r="C12" s="18" t="s">
        <v>71</v>
      </c>
      <c r="D12" s="19" t="s">
        <v>49</v>
      </c>
      <c r="E12" s="21" t="s">
        <v>12</v>
      </c>
      <c r="F12" s="21" t="s">
        <v>12</v>
      </c>
      <c r="G12" s="21" t="s">
        <v>12</v>
      </c>
    </row>
    <row r="13" customFormat="false" ht="31.5" hidden="false" customHeight="true" outlineLevel="0" collapsed="false">
      <c r="A13" s="13" t="s">
        <v>72</v>
      </c>
      <c r="B13" s="14" t="s">
        <v>73</v>
      </c>
      <c r="C13" s="15" t="s">
        <v>74</v>
      </c>
      <c r="D13" s="22" t="s">
        <v>12</v>
      </c>
      <c r="E13" s="16" t="s">
        <v>49</v>
      </c>
      <c r="F13" s="16" t="s">
        <v>49</v>
      </c>
      <c r="G13" s="16" t="s">
        <v>49</v>
      </c>
    </row>
    <row r="14" customFormat="false" ht="31.5" hidden="false" customHeight="true" outlineLevel="0" collapsed="false">
      <c r="A14" s="17" t="s">
        <v>75</v>
      </c>
      <c r="B14" s="7" t="s">
        <v>76</v>
      </c>
      <c r="C14" s="18" t="s">
        <v>77</v>
      </c>
      <c r="D14" s="19" t="s">
        <v>49</v>
      </c>
      <c r="E14" s="19" t="s">
        <v>49</v>
      </c>
      <c r="F14" s="19" t="s">
        <v>49</v>
      </c>
      <c r="G14" s="19" t="s">
        <v>49</v>
      </c>
    </row>
    <row r="15" customFormat="false" ht="31.5" hidden="false" customHeight="true" outlineLevel="0" collapsed="false">
      <c r="A15" s="13" t="s">
        <v>78</v>
      </c>
      <c r="B15" s="14" t="s">
        <v>79</v>
      </c>
      <c r="C15" s="15" t="s">
        <v>80</v>
      </c>
      <c r="D15" s="16" t="s">
        <v>49</v>
      </c>
      <c r="E15" s="22" t="s">
        <v>12</v>
      </c>
      <c r="F15" s="22" t="s">
        <v>12</v>
      </c>
      <c r="G15" s="22" t="s">
        <v>12</v>
      </c>
    </row>
    <row r="16" customFormat="false" ht="31.5" hidden="false" customHeight="true" outlineLevel="0" collapsed="false">
      <c r="A16" s="17" t="s">
        <v>81</v>
      </c>
      <c r="B16" s="7" t="s">
        <v>82</v>
      </c>
      <c r="C16" s="18" t="s">
        <v>83</v>
      </c>
      <c r="D16" s="21" t="s">
        <v>12</v>
      </c>
      <c r="E16" s="19" t="s">
        <v>49</v>
      </c>
      <c r="F16" s="19" t="s">
        <v>49</v>
      </c>
      <c r="G16" s="19" t="s">
        <v>49</v>
      </c>
    </row>
    <row r="17" customFormat="false" ht="31.5" hidden="false" customHeight="true" outlineLevel="0" collapsed="false">
      <c r="A17" s="13" t="s">
        <v>84</v>
      </c>
      <c r="B17" s="14" t="s">
        <v>85</v>
      </c>
      <c r="C17" s="15" t="s">
        <v>86</v>
      </c>
      <c r="D17" s="16" t="s">
        <v>49</v>
      </c>
      <c r="E17" s="16" t="s">
        <v>49</v>
      </c>
      <c r="F17" s="16" t="s">
        <v>49</v>
      </c>
      <c r="G17" s="16" t="s">
        <v>49</v>
      </c>
    </row>
    <row r="18" customFormat="false" ht="31.5" hidden="false" customHeight="true" outlineLevel="0" collapsed="false">
      <c r="A18" s="17" t="s">
        <v>87</v>
      </c>
      <c r="B18" s="7" t="s">
        <v>88</v>
      </c>
      <c r="C18" s="18" t="s">
        <v>89</v>
      </c>
      <c r="D18" s="19" t="s">
        <v>49</v>
      </c>
      <c r="E18" s="19" t="s">
        <v>49</v>
      </c>
      <c r="F18" s="19" t="s">
        <v>49</v>
      </c>
      <c r="G18" s="19" t="s">
        <v>49</v>
      </c>
    </row>
    <row r="19" customFormat="false" ht="31.5" hidden="false" customHeight="true" outlineLevel="0" collapsed="false">
      <c r="A19" s="13" t="s">
        <v>90</v>
      </c>
      <c r="B19" s="14" t="s">
        <v>91</v>
      </c>
      <c r="C19" s="15" t="s">
        <v>92</v>
      </c>
      <c r="D19" s="22" t="s">
        <v>12</v>
      </c>
      <c r="E19" s="16" t="s">
        <v>49</v>
      </c>
      <c r="F19" s="16" t="s">
        <v>49</v>
      </c>
      <c r="G19" s="16" t="s">
        <v>49</v>
      </c>
    </row>
    <row r="20" customFormat="false" ht="31.5" hidden="false" customHeight="true" outlineLevel="0" collapsed="false">
      <c r="A20" s="17" t="s">
        <v>93</v>
      </c>
      <c r="B20" s="7" t="s">
        <v>94</v>
      </c>
      <c r="C20" s="18" t="s">
        <v>95</v>
      </c>
      <c r="D20" s="21" t="s">
        <v>12</v>
      </c>
      <c r="E20" s="21" t="s">
        <v>12</v>
      </c>
      <c r="F20" s="19" t="s">
        <v>49</v>
      </c>
      <c r="G20" s="19" t="s">
        <v>49</v>
      </c>
    </row>
    <row r="21" customFormat="false" ht="31.5" hidden="false" customHeight="true" outlineLevel="0" collapsed="false">
      <c r="A21" s="13" t="s">
        <v>96</v>
      </c>
      <c r="B21" s="14" t="s">
        <v>97</v>
      </c>
      <c r="C21" s="15" t="s">
        <v>98</v>
      </c>
      <c r="D21" s="22" t="s">
        <v>12</v>
      </c>
      <c r="E21" s="16" t="s">
        <v>49</v>
      </c>
      <c r="F21" s="16" t="s">
        <v>49</v>
      </c>
      <c r="G21" s="16" t="s">
        <v>49</v>
      </c>
    </row>
    <row r="22" customFormat="false" ht="31.5" hidden="false" customHeight="true" outlineLevel="0" collapsed="false">
      <c r="A22" s="17" t="s">
        <v>99</v>
      </c>
      <c r="B22" s="7" t="s">
        <v>100</v>
      </c>
      <c r="C22" s="18" t="s">
        <v>101</v>
      </c>
      <c r="D22" s="21" t="s">
        <v>12</v>
      </c>
      <c r="E22" s="19" t="s">
        <v>49</v>
      </c>
      <c r="F22" s="19" t="s">
        <v>49</v>
      </c>
      <c r="G22" s="19" t="s">
        <v>49</v>
      </c>
    </row>
    <row r="23" customFormat="false" ht="31.5" hidden="false" customHeight="true" outlineLevel="0" collapsed="false">
      <c r="A23" s="13" t="s">
        <v>102</v>
      </c>
      <c r="B23" s="14" t="s">
        <v>103</v>
      </c>
      <c r="C23" s="15" t="s">
        <v>104</v>
      </c>
      <c r="D23" s="22" t="s">
        <v>12</v>
      </c>
      <c r="E23" s="16" t="s">
        <v>49</v>
      </c>
      <c r="F23" s="16" t="s">
        <v>49</v>
      </c>
      <c r="G23" s="16" t="s">
        <v>49</v>
      </c>
    </row>
    <row r="24" customFormat="false" ht="31.5" hidden="false" customHeight="true" outlineLevel="0" collapsed="false">
      <c r="A24" s="17" t="s">
        <v>105</v>
      </c>
      <c r="B24" s="7" t="s">
        <v>106</v>
      </c>
      <c r="C24" s="18" t="s">
        <v>107</v>
      </c>
      <c r="D24" s="21" t="s">
        <v>12</v>
      </c>
      <c r="E24" s="21" t="s">
        <v>12</v>
      </c>
      <c r="F24" s="19" t="s">
        <v>49</v>
      </c>
      <c r="G24" s="19" t="s">
        <v>49</v>
      </c>
    </row>
    <row r="25" customFormat="false" ht="31.5" hidden="false" customHeight="true" outlineLevel="0" collapsed="false">
      <c r="A25" s="13" t="s">
        <v>108</v>
      </c>
      <c r="B25" s="14" t="s">
        <v>109</v>
      </c>
      <c r="C25" s="15" t="s">
        <v>110</v>
      </c>
      <c r="D25" s="22" t="s">
        <v>12</v>
      </c>
      <c r="E25" s="22" t="s">
        <v>12</v>
      </c>
      <c r="F25" s="16" t="s">
        <v>49</v>
      </c>
      <c r="G25" s="16" t="s">
        <v>49</v>
      </c>
    </row>
    <row r="26" customFormat="false" ht="31.5" hidden="false" customHeight="true" outlineLevel="0" collapsed="false">
      <c r="A26" s="17" t="s">
        <v>111</v>
      </c>
      <c r="B26" s="7" t="s">
        <v>112</v>
      </c>
      <c r="C26" s="18" t="s">
        <v>113</v>
      </c>
      <c r="D26" s="19" t="s">
        <v>49</v>
      </c>
      <c r="E26" s="19" t="s">
        <v>49</v>
      </c>
      <c r="F26" s="19" t="s">
        <v>49</v>
      </c>
      <c r="G26" s="19" t="s">
        <v>49</v>
      </c>
    </row>
    <row r="27" customFormat="false" ht="31.5" hidden="false" customHeight="true" outlineLevel="0" collapsed="false">
      <c r="A27" s="13" t="s">
        <v>114</v>
      </c>
      <c r="B27" s="14" t="s">
        <v>115</v>
      </c>
      <c r="C27" s="15" t="s">
        <v>116</v>
      </c>
      <c r="D27" s="16" t="s">
        <v>49</v>
      </c>
      <c r="E27" s="16" t="s">
        <v>49</v>
      </c>
      <c r="F27" s="16" t="s">
        <v>49</v>
      </c>
      <c r="G27" s="16" t="s">
        <v>49</v>
      </c>
    </row>
    <row r="28" customFormat="false" ht="31.5" hidden="false" customHeight="true" outlineLevel="0" collapsed="false">
      <c r="A28" s="17" t="s">
        <v>117</v>
      </c>
      <c r="B28" s="7" t="s">
        <v>118</v>
      </c>
      <c r="C28" s="18" t="s">
        <v>119</v>
      </c>
      <c r="D28" s="19" t="s">
        <v>49</v>
      </c>
      <c r="E28" s="19" t="s">
        <v>49</v>
      </c>
      <c r="F28" s="19" t="s">
        <v>49</v>
      </c>
      <c r="G28" s="19" t="s">
        <v>49</v>
      </c>
    </row>
    <row r="29" customFormat="false" ht="31.5" hidden="false" customHeight="true" outlineLevel="0" collapsed="false">
      <c r="A29" s="13" t="s">
        <v>120</v>
      </c>
      <c r="B29" s="14" t="s">
        <v>121</v>
      </c>
      <c r="C29" s="15" t="s">
        <v>122</v>
      </c>
      <c r="D29" s="22" t="s">
        <v>12</v>
      </c>
      <c r="E29" s="22" t="s">
        <v>12</v>
      </c>
      <c r="F29" s="16" t="s">
        <v>49</v>
      </c>
      <c r="G29" s="16" t="s">
        <v>49</v>
      </c>
    </row>
    <row r="30" customFormat="false" ht="31.5" hidden="false" customHeight="true" outlineLevel="0" collapsed="false">
      <c r="A30" s="17" t="s">
        <v>123</v>
      </c>
      <c r="B30" s="7" t="s">
        <v>124</v>
      </c>
      <c r="C30" s="18" t="s">
        <v>125</v>
      </c>
      <c r="D30" s="19" t="s">
        <v>49</v>
      </c>
      <c r="E30" s="19" t="s">
        <v>49</v>
      </c>
      <c r="F30" s="19" t="s">
        <v>49</v>
      </c>
      <c r="G30" s="19" t="s">
        <v>49</v>
      </c>
    </row>
    <row r="31" customFormat="false" ht="31.5" hidden="false" customHeight="true" outlineLevel="0" collapsed="false">
      <c r="A31" s="13" t="s">
        <v>126</v>
      </c>
      <c r="B31" s="14" t="s">
        <v>127</v>
      </c>
      <c r="C31" s="15" t="s">
        <v>128</v>
      </c>
      <c r="D31" s="22" t="s">
        <v>12</v>
      </c>
      <c r="E31" s="22" t="s">
        <v>12</v>
      </c>
      <c r="F31" s="22" t="s">
        <v>12</v>
      </c>
      <c r="G31" s="16" t="s">
        <v>49</v>
      </c>
    </row>
    <row r="32" customFormat="false" ht="31.5" hidden="false" customHeight="true" outlineLevel="0" collapsed="false">
      <c r="A32" s="17" t="s">
        <v>129</v>
      </c>
      <c r="B32" s="7" t="s">
        <v>130</v>
      </c>
      <c r="C32" s="18" t="s">
        <v>131</v>
      </c>
      <c r="D32" s="21" t="s">
        <v>12</v>
      </c>
      <c r="E32" s="21" t="s">
        <v>12</v>
      </c>
      <c r="F32" s="21" t="s">
        <v>12</v>
      </c>
      <c r="G32" s="19" t="s">
        <v>49</v>
      </c>
    </row>
    <row r="33" customFormat="false" ht="31.5" hidden="false" customHeight="true" outlineLevel="0" collapsed="false">
      <c r="A33" s="13" t="s">
        <v>132</v>
      </c>
      <c r="B33" s="14" t="s">
        <v>133</v>
      </c>
      <c r="C33" s="15" t="s">
        <v>134</v>
      </c>
      <c r="D33" s="22" t="s">
        <v>12</v>
      </c>
      <c r="E33" s="22" t="s">
        <v>12</v>
      </c>
      <c r="F33" s="22" t="s">
        <v>12</v>
      </c>
      <c r="G33" s="16" t="s">
        <v>49</v>
      </c>
    </row>
    <row r="34" customFormat="false" ht="31.5" hidden="false" customHeight="true" outlineLevel="0" collapsed="false">
      <c r="A34" s="17" t="s">
        <v>135</v>
      </c>
      <c r="B34" s="7" t="s">
        <v>136</v>
      </c>
      <c r="C34" s="18" t="s">
        <v>137</v>
      </c>
      <c r="D34" s="21" t="s">
        <v>12</v>
      </c>
      <c r="E34" s="21" t="s">
        <v>12</v>
      </c>
      <c r="F34" s="20" t="s">
        <v>59</v>
      </c>
      <c r="G34" s="19" t="s">
        <v>49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2"/>
  </cols>
  <sheetData>
    <row r="1" customFormat="false" ht="25.5" hidden="false" customHeight="true" outlineLevel="0" collapsed="false">
      <c r="A1" s="1" t="s">
        <v>138</v>
      </c>
      <c r="B1" s="1"/>
      <c r="C1" s="1"/>
      <c r="D1" s="1"/>
      <c r="E1" s="1"/>
    </row>
    <row r="2" customFormat="false" ht="18" hidden="false" customHeight="true" outlineLevel="0" collapsed="false">
      <c r="A2" s="2" t="s">
        <v>139</v>
      </c>
      <c r="B2" s="2"/>
      <c r="C2" s="2"/>
      <c r="D2" s="2"/>
      <c r="E2" s="2"/>
    </row>
    <row r="4" customFormat="false" ht="24" hidden="false" customHeight="true" outlineLevel="0" collapsed="false">
      <c r="A4" s="3" t="s">
        <v>140</v>
      </c>
      <c r="B4" s="3" t="s">
        <v>8</v>
      </c>
      <c r="C4" s="3" t="s">
        <v>14</v>
      </c>
      <c r="D4" s="3" t="s">
        <v>19</v>
      </c>
      <c r="E4" s="3" t="s">
        <v>25</v>
      </c>
    </row>
    <row r="5" customFormat="false" ht="21.75" hidden="false" customHeight="true" outlineLevel="0" collapsed="false">
      <c r="A5" s="23" t="s">
        <v>141</v>
      </c>
      <c r="B5" s="16" t="s">
        <v>49</v>
      </c>
      <c r="C5" s="16" t="s">
        <v>49</v>
      </c>
      <c r="D5" s="16" t="s">
        <v>49</v>
      </c>
      <c r="E5" s="16" t="s">
        <v>49</v>
      </c>
    </row>
    <row r="6" customFormat="false" ht="21.75" hidden="false" customHeight="true" outlineLevel="0" collapsed="false">
      <c r="A6" s="9" t="s">
        <v>142</v>
      </c>
      <c r="B6" s="19" t="s">
        <v>49</v>
      </c>
      <c r="C6" s="19" t="s">
        <v>49</v>
      </c>
      <c r="D6" s="19" t="s">
        <v>49</v>
      </c>
      <c r="E6" s="19" t="s">
        <v>49</v>
      </c>
    </row>
    <row r="7" customFormat="false" ht="21.75" hidden="false" customHeight="true" outlineLevel="0" collapsed="false">
      <c r="A7" s="23" t="s">
        <v>143</v>
      </c>
      <c r="B7" s="16" t="s">
        <v>49</v>
      </c>
      <c r="C7" s="16" t="s">
        <v>49</v>
      </c>
      <c r="D7" s="16" t="s">
        <v>49</v>
      </c>
      <c r="E7" s="16" t="s">
        <v>49</v>
      </c>
    </row>
    <row r="8" customFormat="false" ht="21.75" hidden="false" customHeight="true" outlineLevel="0" collapsed="false">
      <c r="A8" s="9" t="s">
        <v>144</v>
      </c>
      <c r="B8" s="21" t="s">
        <v>12</v>
      </c>
      <c r="C8" s="19" t="s">
        <v>49</v>
      </c>
      <c r="D8" s="19" t="s">
        <v>49</v>
      </c>
      <c r="E8" s="19" t="s">
        <v>49</v>
      </c>
    </row>
    <row r="9" customFormat="false" ht="21.75" hidden="false" customHeight="true" outlineLevel="0" collapsed="false">
      <c r="A9" s="23" t="s">
        <v>145</v>
      </c>
      <c r="B9" s="16" t="s">
        <v>49</v>
      </c>
      <c r="C9" s="22" t="s">
        <v>12</v>
      </c>
      <c r="D9" s="22" t="s">
        <v>12</v>
      </c>
      <c r="E9" s="22" t="s">
        <v>12</v>
      </c>
    </row>
    <row r="10" customFormat="false" ht="21.75" hidden="false" customHeight="true" outlineLevel="0" collapsed="false">
      <c r="A10" s="9" t="s">
        <v>146</v>
      </c>
      <c r="B10" s="21" t="s">
        <v>12</v>
      </c>
      <c r="C10" s="19" t="s">
        <v>49</v>
      </c>
      <c r="D10" s="19" t="s">
        <v>49</v>
      </c>
      <c r="E10" s="19" t="s">
        <v>49</v>
      </c>
    </row>
    <row r="11" customFormat="false" ht="21.75" hidden="false" customHeight="true" outlineLevel="0" collapsed="false">
      <c r="A11" s="23" t="s">
        <v>147</v>
      </c>
      <c r="B11" s="16" t="s">
        <v>49</v>
      </c>
      <c r="C11" s="16" t="s">
        <v>49</v>
      </c>
      <c r="D11" s="16" t="s">
        <v>49</v>
      </c>
      <c r="E11" s="16" t="s">
        <v>49</v>
      </c>
    </row>
    <row r="12" customFormat="false" ht="21.75" hidden="false" customHeight="true" outlineLevel="0" collapsed="false">
      <c r="A12" s="9" t="s">
        <v>148</v>
      </c>
      <c r="B12" s="19" t="s">
        <v>49</v>
      </c>
      <c r="C12" s="21" t="s">
        <v>12</v>
      </c>
      <c r="D12" s="21" t="s">
        <v>12</v>
      </c>
      <c r="E12" s="21" t="s">
        <v>12</v>
      </c>
    </row>
    <row r="13" customFormat="false" ht="21.75" hidden="false" customHeight="true" outlineLevel="0" collapsed="false">
      <c r="A13" s="23" t="s">
        <v>149</v>
      </c>
      <c r="B13" s="22" t="s">
        <v>12</v>
      </c>
      <c r="C13" s="16" t="s">
        <v>49</v>
      </c>
      <c r="D13" s="16" t="s">
        <v>49</v>
      </c>
      <c r="E13" s="16" t="s">
        <v>49</v>
      </c>
    </row>
    <row r="14" customFormat="false" ht="21.75" hidden="false" customHeight="true" outlineLevel="0" collapsed="false">
      <c r="A14" s="9" t="s">
        <v>150</v>
      </c>
      <c r="B14" s="19" t="s">
        <v>49</v>
      </c>
      <c r="C14" s="19" t="s">
        <v>49</v>
      </c>
      <c r="D14" s="19" t="s">
        <v>49</v>
      </c>
      <c r="E14" s="19" t="s">
        <v>49</v>
      </c>
    </row>
    <row r="15" customFormat="false" ht="21.75" hidden="false" customHeight="true" outlineLevel="0" collapsed="false">
      <c r="A15" s="23" t="s">
        <v>151</v>
      </c>
      <c r="B15" s="22" t="s">
        <v>12</v>
      </c>
      <c r="C15" s="16" t="s">
        <v>49</v>
      </c>
      <c r="D15" s="16" t="s">
        <v>49</v>
      </c>
      <c r="E15" s="16" t="s">
        <v>49</v>
      </c>
    </row>
    <row r="16" customFormat="false" ht="21.75" hidden="false" customHeight="true" outlineLevel="0" collapsed="false">
      <c r="A16" s="9" t="s">
        <v>152</v>
      </c>
      <c r="B16" s="21" t="s">
        <v>12</v>
      </c>
      <c r="C16" s="21" t="s">
        <v>12</v>
      </c>
      <c r="D16" s="19" t="s">
        <v>49</v>
      </c>
      <c r="E16" s="19" t="s">
        <v>49</v>
      </c>
    </row>
    <row r="17" customFormat="false" ht="21.75" hidden="false" customHeight="true" outlineLevel="0" collapsed="false">
      <c r="A17" s="23" t="s">
        <v>153</v>
      </c>
      <c r="B17" s="16" t="s">
        <v>49</v>
      </c>
      <c r="C17" s="16" t="s">
        <v>49</v>
      </c>
      <c r="D17" s="16" t="s">
        <v>49</v>
      </c>
      <c r="E17" s="16" t="s">
        <v>49</v>
      </c>
    </row>
    <row r="18" customFormat="false" ht="21.75" hidden="false" customHeight="true" outlineLevel="0" collapsed="false">
      <c r="A18" s="9" t="s">
        <v>154</v>
      </c>
      <c r="B18" s="21" t="s">
        <v>12</v>
      </c>
      <c r="C18" s="21" t="s">
        <v>12</v>
      </c>
      <c r="D18" s="21" t="s">
        <v>12</v>
      </c>
      <c r="E18" s="19" t="s">
        <v>49</v>
      </c>
    </row>
    <row r="19" customFormat="false" ht="21.75" hidden="false" customHeight="true" outlineLevel="0" collapsed="false">
      <c r="A19" s="23" t="s">
        <v>155</v>
      </c>
      <c r="B19" s="22" t="s">
        <v>12</v>
      </c>
      <c r="C19" s="22" t="s">
        <v>12</v>
      </c>
      <c r="D19" s="22" t="s">
        <v>12</v>
      </c>
      <c r="E19" s="16" t="s">
        <v>49</v>
      </c>
    </row>
    <row r="20" customFormat="false" ht="24" hidden="false" customHeight="true" outlineLevel="0" collapsed="false">
      <c r="A20" s="24" t="s">
        <v>156</v>
      </c>
      <c r="B20" s="25" t="n">
        <f aca="false">COUNTIF(B5:B19,"✓")</f>
        <v>8</v>
      </c>
      <c r="C20" s="25" t="n">
        <f aca="false">COUNTIF(C5:C19,"✓")</f>
        <v>10</v>
      </c>
      <c r="D20" s="25" t="n">
        <f aca="false">COUNTIF(D5:D19,"✓")</f>
        <v>11</v>
      </c>
      <c r="E20" s="25" t="n">
        <f aca="false">COUNTIF(E5:E19,"✓")</f>
        <v>13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4"/>
    <col collapsed="false" customWidth="true" hidden="false" outlineLevel="0" max="4" min="4" style="0" width="50"/>
  </cols>
  <sheetData>
    <row r="1" customFormat="false" ht="25.5" hidden="false" customHeight="true" outlineLevel="0" collapsed="false">
      <c r="A1" s="1" t="s">
        <v>157</v>
      </c>
      <c r="B1" s="1"/>
      <c r="C1" s="1"/>
      <c r="D1" s="1"/>
    </row>
    <row r="2" customFormat="false" ht="18" hidden="false" customHeight="true" outlineLevel="0" collapsed="false">
      <c r="A2" s="2" t="s">
        <v>158</v>
      </c>
      <c r="B2" s="2"/>
      <c r="C2" s="2"/>
      <c r="D2" s="2"/>
    </row>
    <row r="4" customFormat="false" ht="24" hidden="false" customHeight="true" outlineLevel="0" collapsed="false">
      <c r="A4" s="3" t="s">
        <v>159</v>
      </c>
      <c r="B4" s="3" t="s">
        <v>160</v>
      </c>
      <c r="C4" s="3" t="s">
        <v>161</v>
      </c>
      <c r="D4" s="3" t="s">
        <v>162</v>
      </c>
    </row>
    <row r="5" customFormat="false" ht="42" hidden="false" customHeight="true" outlineLevel="0" collapsed="false">
      <c r="A5" s="14" t="s">
        <v>163</v>
      </c>
      <c r="B5" s="26" t="s">
        <v>164</v>
      </c>
      <c r="C5" s="27" t="s">
        <v>165</v>
      </c>
      <c r="D5" s="28" t="s">
        <v>166</v>
      </c>
    </row>
    <row r="6" customFormat="false" ht="42" hidden="false" customHeight="true" outlineLevel="0" collapsed="false">
      <c r="A6" s="7" t="s">
        <v>167</v>
      </c>
      <c r="B6" s="8" t="s">
        <v>10</v>
      </c>
      <c r="C6" s="29" t="s">
        <v>168</v>
      </c>
      <c r="D6" s="30" t="s">
        <v>169</v>
      </c>
    </row>
    <row r="7" customFormat="false" ht="42" hidden="false" customHeight="true" outlineLevel="0" collapsed="false">
      <c r="A7" s="14" t="s">
        <v>170</v>
      </c>
      <c r="B7" s="26" t="s">
        <v>171</v>
      </c>
      <c r="C7" s="27" t="s">
        <v>172</v>
      </c>
      <c r="D7" s="28" t="s">
        <v>173</v>
      </c>
    </row>
    <row r="8" customFormat="false" ht="42" hidden="false" customHeight="true" outlineLevel="0" collapsed="false">
      <c r="A8" s="7" t="s">
        <v>174</v>
      </c>
      <c r="B8" s="8" t="s">
        <v>175</v>
      </c>
      <c r="C8" s="29" t="s">
        <v>172</v>
      </c>
      <c r="D8" s="30" t="s">
        <v>176</v>
      </c>
    </row>
    <row r="9" customFormat="false" ht="42" hidden="false" customHeight="true" outlineLevel="0" collapsed="false">
      <c r="A9" s="14" t="s">
        <v>177</v>
      </c>
      <c r="B9" s="26" t="s">
        <v>164</v>
      </c>
      <c r="C9" s="27" t="s">
        <v>172</v>
      </c>
      <c r="D9" s="28" t="s">
        <v>178</v>
      </c>
    </row>
    <row r="10" customFormat="false" ht="42" hidden="false" customHeight="true" outlineLevel="0" collapsed="false">
      <c r="A10" s="7" t="s">
        <v>179</v>
      </c>
      <c r="B10" s="8" t="s">
        <v>175</v>
      </c>
      <c r="C10" s="29" t="s">
        <v>172</v>
      </c>
      <c r="D10" s="30" t="s">
        <v>180</v>
      </c>
    </row>
    <row r="11" customFormat="false" ht="42" hidden="false" customHeight="true" outlineLevel="0" collapsed="false">
      <c r="A11" s="14" t="s">
        <v>181</v>
      </c>
      <c r="B11" s="26" t="s">
        <v>182</v>
      </c>
      <c r="C11" s="27" t="s">
        <v>168</v>
      </c>
      <c r="D11" s="28" t="s">
        <v>183</v>
      </c>
    </row>
    <row r="12" customFormat="false" ht="42" hidden="false" customHeight="true" outlineLevel="0" collapsed="false">
      <c r="A12" s="7" t="s">
        <v>184</v>
      </c>
      <c r="B12" s="8" t="s">
        <v>185</v>
      </c>
      <c r="C12" s="29" t="s">
        <v>186</v>
      </c>
      <c r="D12" s="30" t="s">
        <v>187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36"/>
  </cols>
  <sheetData>
    <row r="1" customFormat="false" ht="25.5" hidden="false" customHeight="true" outlineLevel="0" collapsed="false">
      <c r="A1" s="1" t="s">
        <v>188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189</v>
      </c>
      <c r="B2" s="2"/>
      <c r="C2" s="2"/>
      <c r="D2" s="2"/>
      <c r="E2" s="2"/>
      <c r="F2" s="2"/>
    </row>
    <row r="4" customFormat="false" ht="24" hidden="false" customHeight="true" outlineLevel="0" collapsed="false">
      <c r="A4" s="3" t="s">
        <v>190</v>
      </c>
      <c r="B4" s="3" t="s">
        <v>160</v>
      </c>
      <c r="C4" s="3" t="s">
        <v>191</v>
      </c>
      <c r="D4" s="3" t="s">
        <v>192</v>
      </c>
      <c r="E4" s="3" t="s">
        <v>193</v>
      </c>
      <c r="F4" s="3" t="s">
        <v>194</v>
      </c>
    </row>
    <row r="5" customFormat="false" ht="36" hidden="false" customHeight="true" outlineLevel="0" collapsed="false">
      <c r="A5" s="4" t="s">
        <v>195</v>
      </c>
      <c r="B5" s="5" t="s">
        <v>196</v>
      </c>
      <c r="C5" s="5" t="s">
        <v>197</v>
      </c>
      <c r="D5" s="5" t="s">
        <v>198</v>
      </c>
      <c r="E5" s="5" t="s">
        <v>199</v>
      </c>
      <c r="F5" s="31" t="s">
        <v>200</v>
      </c>
    </row>
    <row r="6" customFormat="false" ht="36" hidden="false" customHeight="true" outlineLevel="0" collapsed="false">
      <c r="A6" s="7" t="s">
        <v>201</v>
      </c>
      <c r="B6" s="8" t="s">
        <v>202</v>
      </c>
      <c r="C6" s="8" t="s">
        <v>203</v>
      </c>
      <c r="D6" s="8" t="s">
        <v>204</v>
      </c>
      <c r="E6" s="8" t="s">
        <v>205</v>
      </c>
      <c r="F6" s="30" t="s">
        <v>206</v>
      </c>
    </row>
    <row r="7" customFormat="false" ht="36" hidden="false" customHeight="true" outlineLevel="0" collapsed="false">
      <c r="A7" s="4" t="s">
        <v>207</v>
      </c>
      <c r="B7" s="5" t="s">
        <v>208</v>
      </c>
      <c r="C7" s="5" t="s">
        <v>209</v>
      </c>
      <c r="D7" s="5" t="s">
        <v>210</v>
      </c>
      <c r="E7" s="5" t="s">
        <v>19</v>
      </c>
      <c r="F7" s="31" t="s">
        <v>211</v>
      </c>
    </row>
    <row r="9" customFormat="false" ht="25.5" hidden="false" customHeight="true" outlineLevel="0" collapsed="false">
      <c r="A9" s="1" t="s">
        <v>212</v>
      </c>
      <c r="B9" s="1"/>
      <c r="C9" s="1"/>
      <c r="D9" s="1"/>
      <c r="E9" s="1"/>
      <c r="F9" s="1"/>
    </row>
    <row r="11" customFormat="false" ht="24" hidden="false" customHeight="true" outlineLevel="0" collapsed="false">
      <c r="A11" s="3" t="s">
        <v>213</v>
      </c>
      <c r="B11" s="3" t="s">
        <v>214</v>
      </c>
      <c r="C11" s="3" t="s">
        <v>215</v>
      </c>
      <c r="D11" s="3" t="s">
        <v>216</v>
      </c>
      <c r="E11" s="3" t="s">
        <v>217</v>
      </c>
      <c r="F11" s="3"/>
    </row>
    <row r="12" customFormat="false" ht="36" hidden="false" customHeight="true" outlineLevel="0" collapsed="false">
      <c r="A12" s="4" t="s">
        <v>218</v>
      </c>
      <c r="B12" s="5" t="s">
        <v>14</v>
      </c>
      <c r="C12" s="5" t="s">
        <v>195</v>
      </c>
      <c r="D12" s="31" t="s">
        <v>219</v>
      </c>
      <c r="E12" s="31" t="s">
        <v>220</v>
      </c>
      <c r="F12" s="31"/>
    </row>
    <row r="13" customFormat="false" ht="36" hidden="false" customHeight="true" outlineLevel="0" collapsed="false">
      <c r="A13" s="7" t="s">
        <v>221</v>
      </c>
      <c r="B13" s="8" t="s">
        <v>19</v>
      </c>
      <c r="C13" s="8" t="s">
        <v>201</v>
      </c>
      <c r="D13" s="30" t="s">
        <v>222</v>
      </c>
      <c r="E13" s="30" t="s">
        <v>223</v>
      </c>
      <c r="F13" s="30"/>
    </row>
    <row r="14" customFormat="false" ht="36" hidden="false" customHeight="true" outlineLevel="0" collapsed="false">
      <c r="A14" s="4" t="s">
        <v>224</v>
      </c>
      <c r="B14" s="5" t="s">
        <v>25</v>
      </c>
      <c r="C14" s="5" t="s">
        <v>207</v>
      </c>
      <c r="D14" s="31" t="s">
        <v>225</v>
      </c>
      <c r="E14" s="31" t="s">
        <v>226</v>
      </c>
      <c r="F14" s="31"/>
    </row>
  </sheetData>
  <mergeCells count="7">
    <mergeCell ref="A1:F1"/>
    <mergeCell ref="A2:F2"/>
    <mergeCell ref="A9:F9"/>
    <mergeCell ref="E11:F11"/>
    <mergeCell ref="E12:F12"/>
    <mergeCell ref="E13:F13"/>
    <mergeCell ref="E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52"/>
  </cols>
  <sheetData>
    <row r="1" customFormat="false" ht="25.5" hidden="false" customHeight="true" outlineLevel="0" collapsed="false">
      <c r="A1" s="1" t="s">
        <v>227</v>
      </c>
      <c r="B1" s="1"/>
      <c r="C1" s="1"/>
      <c r="D1" s="1"/>
    </row>
    <row r="2" customFormat="false" ht="18" hidden="false" customHeight="true" outlineLevel="0" collapsed="false">
      <c r="A2" s="2" t="s">
        <v>228</v>
      </c>
      <c r="B2" s="2"/>
      <c r="C2" s="2"/>
      <c r="D2" s="2"/>
    </row>
    <row r="4" customFormat="false" ht="24" hidden="false" customHeight="true" outlineLevel="0" collapsed="false">
      <c r="A4" s="3" t="s">
        <v>229</v>
      </c>
      <c r="B4" s="3" t="s">
        <v>160</v>
      </c>
      <c r="C4" s="3" t="s">
        <v>230</v>
      </c>
      <c r="D4" s="3" t="s">
        <v>231</v>
      </c>
    </row>
    <row r="5" customFormat="false" ht="51.75" hidden="false" customHeight="true" outlineLevel="0" collapsed="false">
      <c r="A5" s="14" t="s">
        <v>232</v>
      </c>
      <c r="B5" s="26" t="s">
        <v>233</v>
      </c>
      <c r="C5" s="27" t="s">
        <v>234</v>
      </c>
      <c r="D5" s="28" t="s">
        <v>235</v>
      </c>
    </row>
    <row r="6" customFormat="false" ht="51.75" hidden="false" customHeight="true" outlineLevel="0" collapsed="false">
      <c r="A6" s="7" t="s">
        <v>236</v>
      </c>
      <c r="B6" s="8" t="s">
        <v>237</v>
      </c>
      <c r="C6" s="29" t="s">
        <v>168</v>
      </c>
      <c r="D6" s="30" t="s">
        <v>238</v>
      </c>
    </row>
    <row r="7" customFormat="false" ht="51.75" hidden="false" customHeight="true" outlineLevel="0" collapsed="false">
      <c r="A7" s="14" t="s">
        <v>239</v>
      </c>
      <c r="B7" s="26" t="s">
        <v>240</v>
      </c>
      <c r="C7" s="27" t="s">
        <v>241</v>
      </c>
      <c r="D7" s="28" t="s">
        <v>242</v>
      </c>
    </row>
    <row r="8" customFormat="false" ht="51.75" hidden="false" customHeight="true" outlineLevel="0" collapsed="false">
      <c r="A8" s="7" t="s">
        <v>243</v>
      </c>
      <c r="B8" s="8" t="s">
        <v>244</v>
      </c>
      <c r="C8" s="29" t="s">
        <v>245</v>
      </c>
      <c r="D8" s="30" t="s">
        <v>246</v>
      </c>
    </row>
    <row r="11" customFormat="false" ht="21.75" hidden="false" customHeight="true" outlineLevel="0" collapsed="false">
      <c r="A11" s="32" t="s">
        <v>247</v>
      </c>
      <c r="B11" s="32"/>
      <c r="C11" s="32"/>
      <c r="D11" s="32"/>
    </row>
    <row r="12" customFormat="false" ht="36" hidden="false" customHeight="true" outlineLevel="0" collapsed="false">
      <c r="A12" s="33" t="s">
        <v>248</v>
      </c>
      <c r="B12" s="33"/>
      <c r="C12" s="33"/>
      <c r="D12" s="33"/>
    </row>
    <row r="13" customFormat="false" ht="36" hidden="false" customHeight="true" outlineLevel="0" collapsed="false">
      <c r="A13" s="33" t="s">
        <v>249</v>
      </c>
      <c r="B13" s="33"/>
      <c r="C13" s="33"/>
      <c r="D13" s="33"/>
    </row>
    <row r="14" customFormat="false" ht="36" hidden="false" customHeight="true" outlineLevel="0" collapsed="false">
      <c r="A14" s="33" t="s">
        <v>250</v>
      </c>
      <c r="B14" s="33"/>
      <c r="C14" s="33"/>
      <c r="D14" s="33"/>
    </row>
    <row r="15" customFormat="false" ht="36" hidden="false" customHeight="true" outlineLevel="0" collapsed="false">
      <c r="A15" s="33" t="s">
        <v>251</v>
      </c>
      <c r="B15" s="33"/>
      <c r="C15" s="33"/>
      <c r="D15" s="33"/>
    </row>
    <row r="16" customFormat="false" ht="36" hidden="false" customHeight="true" outlineLevel="0" collapsed="false">
      <c r="A16" s="33" t="s">
        <v>252</v>
      </c>
      <c r="B16" s="33"/>
      <c r="C16" s="33"/>
      <c r="D16" s="33"/>
    </row>
  </sheetData>
  <mergeCells count="8">
    <mergeCell ref="A1:D1"/>
    <mergeCell ref="A2:D2"/>
    <mergeCell ref="A11:D11"/>
    <mergeCell ref="A12:D12"/>
    <mergeCell ref="A13:D13"/>
    <mergeCell ref="A14:D14"/>
    <mergeCell ref="A15:D15"/>
    <mergeCell ref="A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50"/>
  </cols>
  <sheetData>
    <row r="1" customFormat="false" ht="25.5" hidden="false" customHeight="true" outlineLevel="0" collapsed="false">
      <c r="A1" s="1" t="s">
        <v>253</v>
      </c>
      <c r="B1" s="1"/>
      <c r="C1" s="1"/>
      <c r="D1" s="1"/>
    </row>
    <row r="2" customFormat="false" ht="18" hidden="false" customHeight="true" outlineLevel="0" collapsed="false">
      <c r="A2" s="2" t="s">
        <v>254</v>
      </c>
      <c r="B2" s="2"/>
      <c r="C2" s="2"/>
      <c r="D2" s="2"/>
    </row>
    <row r="4" customFormat="false" ht="24" hidden="false" customHeight="true" outlineLevel="0" collapsed="false">
      <c r="A4" s="3" t="s">
        <v>255</v>
      </c>
      <c r="B4" s="3" t="s">
        <v>256</v>
      </c>
      <c r="C4" s="3" t="s">
        <v>257</v>
      </c>
      <c r="D4" s="3" t="s">
        <v>217</v>
      </c>
    </row>
    <row r="5" customFormat="false" ht="43.5" hidden="false" customHeight="true" outlineLevel="0" collapsed="false">
      <c r="A5" s="34" t="s">
        <v>258</v>
      </c>
      <c r="B5" s="14" t="s">
        <v>259</v>
      </c>
      <c r="C5" s="34" t="s">
        <v>260</v>
      </c>
      <c r="D5" s="15" t="s">
        <v>261</v>
      </c>
    </row>
    <row r="6" customFormat="false" ht="43.5" hidden="false" customHeight="true" outlineLevel="0" collapsed="false">
      <c r="A6" s="35" t="s">
        <v>258</v>
      </c>
      <c r="B6" s="7" t="s">
        <v>262</v>
      </c>
      <c r="C6" s="35" t="s">
        <v>260</v>
      </c>
      <c r="D6" s="18" t="s">
        <v>263</v>
      </c>
    </row>
    <row r="7" customFormat="false" ht="43.5" hidden="false" customHeight="true" outlineLevel="0" collapsed="false">
      <c r="A7" s="34" t="s">
        <v>258</v>
      </c>
      <c r="B7" s="14" t="s">
        <v>264</v>
      </c>
      <c r="C7" s="34" t="s">
        <v>260</v>
      </c>
      <c r="D7" s="15" t="s">
        <v>265</v>
      </c>
    </row>
    <row r="8" customFormat="false" ht="43.5" hidden="false" customHeight="true" outlineLevel="0" collapsed="false">
      <c r="A8" s="35" t="s">
        <v>258</v>
      </c>
      <c r="B8" s="7" t="s">
        <v>266</v>
      </c>
      <c r="C8" s="35" t="s">
        <v>260</v>
      </c>
      <c r="D8" s="18" t="s">
        <v>267</v>
      </c>
    </row>
    <row r="9" customFormat="false" ht="43.5" hidden="false" customHeight="true" outlineLevel="0" collapsed="false">
      <c r="A9" s="34" t="s">
        <v>258</v>
      </c>
      <c r="B9" s="14" t="s">
        <v>268</v>
      </c>
      <c r="C9" s="36" t="s">
        <v>269</v>
      </c>
      <c r="D9" s="15" t="s">
        <v>270</v>
      </c>
    </row>
    <row r="10" customFormat="false" ht="43.5" hidden="false" customHeight="true" outlineLevel="0" collapsed="false">
      <c r="A10" s="35" t="s">
        <v>258</v>
      </c>
      <c r="B10" s="7" t="s">
        <v>271</v>
      </c>
      <c r="C10" s="35" t="s">
        <v>260</v>
      </c>
      <c r="D10" s="18" t="s">
        <v>272</v>
      </c>
    </row>
    <row r="11" customFormat="false" ht="43.5" hidden="false" customHeight="true" outlineLevel="0" collapsed="false">
      <c r="A11" s="34" t="s">
        <v>258</v>
      </c>
      <c r="B11" s="14" t="s">
        <v>273</v>
      </c>
      <c r="C11" s="36" t="s">
        <v>274</v>
      </c>
      <c r="D11" s="15" t="s">
        <v>275</v>
      </c>
    </row>
    <row r="12" customFormat="false" ht="43.5" hidden="false" customHeight="true" outlineLevel="0" collapsed="false">
      <c r="A12" s="35" t="s">
        <v>258</v>
      </c>
      <c r="B12" s="7" t="s">
        <v>276</v>
      </c>
      <c r="C12" s="35" t="s">
        <v>260</v>
      </c>
      <c r="D12" s="18" t="s">
        <v>277</v>
      </c>
    </row>
    <row r="13" customFormat="false" ht="43.5" hidden="false" customHeight="true" outlineLevel="0" collapsed="false">
      <c r="A13" s="36" t="s">
        <v>278</v>
      </c>
      <c r="B13" s="14" t="s">
        <v>279</v>
      </c>
      <c r="C13" s="34" t="s">
        <v>260</v>
      </c>
      <c r="D13" s="15" t="s">
        <v>280</v>
      </c>
    </row>
    <row r="14" customFormat="false" ht="43.5" hidden="false" customHeight="true" outlineLevel="0" collapsed="false">
      <c r="A14" s="37" t="s">
        <v>278</v>
      </c>
      <c r="B14" s="7" t="s">
        <v>281</v>
      </c>
      <c r="C14" s="35" t="s">
        <v>260</v>
      </c>
      <c r="D14" s="18" t="s">
        <v>282</v>
      </c>
    </row>
    <row r="15" customFormat="false" ht="43.5" hidden="false" customHeight="true" outlineLevel="0" collapsed="false">
      <c r="A15" s="36" t="s">
        <v>278</v>
      </c>
      <c r="B15" s="14" t="s">
        <v>283</v>
      </c>
      <c r="C15" s="36" t="s">
        <v>284</v>
      </c>
      <c r="D15" s="15" t="s">
        <v>285</v>
      </c>
    </row>
    <row r="16" customFormat="false" ht="43.5" hidden="false" customHeight="true" outlineLevel="0" collapsed="false">
      <c r="A16" s="37" t="s">
        <v>278</v>
      </c>
      <c r="B16" s="7" t="s">
        <v>286</v>
      </c>
      <c r="C16" s="35" t="s">
        <v>260</v>
      </c>
      <c r="D16" s="18" t="s">
        <v>287</v>
      </c>
    </row>
    <row r="17" customFormat="false" ht="43.5" hidden="false" customHeight="true" outlineLevel="0" collapsed="false">
      <c r="A17" s="36" t="s">
        <v>278</v>
      </c>
      <c r="B17" s="14" t="s">
        <v>288</v>
      </c>
      <c r="C17" s="34" t="s">
        <v>260</v>
      </c>
      <c r="D17" s="15" t="s">
        <v>289</v>
      </c>
    </row>
    <row r="18" customFormat="false" ht="43.5" hidden="false" customHeight="true" outlineLevel="0" collapsed="false">
      <c r="A18" s="38" t="s">
        <v>290</v>
      </c>
      <c r="B18" s="7" t="s">
        <v>291</v>
      </c>
      <c r="C18" s="35" t="s">
        <v>260</v>
      </c>
      <c r="D18" s="18" t="s">
        <v>292</v>
      </c>
    </row>
    <row r="19" customFormat="false" ht="43.5" hidden="false" customHeight="true" outlineLevel="0" collapsed="false">
      <c r="A19" s="39" t="s">
        <v>290</v>
      </c>
      <c r="B19" s="14" t="s">
        <v>293</v>
      </c>
      <c r="C19" s="34" t="s">
        <v>260</v>
      </c>
      <c r="D19" s="15" t="s">
        <v>294</v>
      </c>
    </row>
    <row r="20" customFormat="false" ht="43.5" hidden="false" customHeight="true" outlineLevel="0" collapsed="false">
      <c r="A20" s="38" t="s">
        <v>290</v>
      </c>
      <c r="B20" s="7" t="s">
        <v>295</v>
      </c>
      <c r="C20" s="37" t="s">
        <v>269</v>
      </c>
      <c r="D20" s="18" t="s">
        <v>296</v>
      </c>
    </row>
    <row r="21" customFormat="false" ht="43.5" hidden="false" customHeight="true" outlineLevel="0" collapsed="false">
      <c r="A21" s="39" t="s">
        <v>290</v>
      </c>
      <c r="B21" s="14" t="s">
        <v>297</v>
      </c>
      <c r="C21" s="34" t="s">
        <v>260</v>
      </c>
      <c r="D21" s="15" t="s">
        <v>298</v>
      </c>
    </row>
    <row r="22" customFormat="false" ht="43.5" hidden="false" customHeight="true" outlineLevel="0" collapsed="false">
      <c r="A22" s="38" t="s">
        <v>290</v>
      </c>
      <c r="B22" s="7" t="s">
        <v>299</v>
      </c>
      <c r="C22" s="35" t="s">
        <v>260</v>
      </c>
      <c r="D22" s="18" t="s">
        <v>300</v>
      </c>
    </row>
    <row r="24" customFormat="false" ht="21.75" hidden="false" customHeight="true" outlineLevel="0" collapsed="false">
      <c r="A24" s="32" t="s">
        <v>301</v>
      </c>
      <c r="B24" s="32"/>
      <c r="C24" s="32"/>
      <c r="D24" s="32"/>
    </row>
    <row r="25" customFormat="false" ht="21.75" hidden="false" customHeight="true" outlineLevel="0" collapsed="false">
      <c r="A25" s="3" t="s">
        <v>302</v>
      </c>
      <c r="B25" s="3" t="s">
        <v>303</v>
      </c>
      <c r="C25" s="3" t="s">
        <v>304</v>
      </c>
      <c r="D25" s="3" t="s">
        <v>305</v>
      </c>
    </row>
    <row r="26" customFormat="false" ht="21.75" hidden="false" customHeight="true" outlineLevel="0" collapsed="false">
      <c r="A26" s="25" t="n">
        <f aca="false">COUNTIF(A5:A22,"P1")</f>
        <v>8</v>
      </c>
      <c r="B26" s="25" t="n">
        <f aca="false">COUNTIF(A5:A22,"P2")</f>
        <v>5</v>
      </c>
      <c r="C26" s="25" t="n">
        <f aca="false">COUNTIF(A5:A22,"P3")</f>
        <v>5</v>
      </c>
      <c r="D26" s="25" t="n">
        <f aca="false">SUM(A26:C26)</f>
        <v>18</v>
      </c>
    </row>
  </sheetData>
  <mergeCells count="3">
    <mergeCell ref="A1:D1"/>
    <mergeCell ref="A2:D2"/>
    <mergeCell ref="A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42"/>
  </cols>
  <sheetData>
    <row r="1" customFormat="false" ht="25.5" hidden="false" customHeight="true" outlineLevel="0" collapsed="false">
      <c r="A1" s="1" t="s">
        <v>306</v>
      </c>
      <c r="B1" s="1"/>
      <c r="C1" s="1"/>
      <c r="D1" s="1"/>
      <c r="E1" s="1"/>
    </row>
    <row r="2" customFormat="false" ht="18" hidden="false" customHeight="true" outlineLevel="0" collapsed="false">
      <c r="A2" s="2" t="s">
        <v>307</v>
      </c>
      <c r="B2" s="2"/>
      <c r="C2" s="2"/>
      <c r="D2" s="2"/>
      <c r="E2" s="2"/>
    </row>
    <row r="4" customFormat="false" ht="24" hidden="false" customHeight="true" outlineLevel="0" collapsed="false">
      <c r="A4" s="3" t="s">
        <v>308</v>
      </c>
      <c r="B4" s="3" t="s">
        <v>309</v>
      </c>
      <c r="C4" s="3" t="s">
        <v>310</v>
      </c>
      <c r="D4" s="3" t="s">
        <v>311</v>
      </c>
      <c r="E4" s="3" t="s">
        <v>312</v>
      </c>
    </row>
    <row r="5" customFormat="false" ht="45.75" hidden="false" customHeight="true" outlineLevel="0" collapsed="false">
      <c r="A5" s="4" t="s">
        <v>313</v>
      </c>
      <c r="B5" s="6" t="s">
        <v>314</v>
      </c>
      <c r="C5" s="5" t="s">
        <v>315</v>
      </c>
      <c r="D5" s="5" t="s">
        <v>8</v>
      </c>
      <c r="E5" s="31" t="s">
        <v>316</v>
      </c>
    </row>
    <row r="6" customFormat="false" ht="45.75" hidden="false" customHeight="true" outlineLevel="0" collapsed="false">
      <c r="A6" s="7" t="s">
        <v>317</v>
      </c>
      <c r="B6" s="9" t="s">
        <v>318</v>
      </c>
      <c r="C6" s="8" t="s">
        <v>319</v>
      </c>
      <c r="D6" s="8" t="s">
        <v>14</v>
      </c>
      <c r="E6" s="30" t="s">
        <v>320</v>
      </c>
    </row>
    <row r="7" customFormat="false" ht="45.75" hidden="false" customHeight="true" outlineLevel="0" collapsed="false">
      <c r="A7" s="4" t="s">
        <v>321</v>
      </c>
      <c r="B7" s="6" t="s">
        <v>322</v>
      </c>
      <c r="C7" s="5" t="s">
        <v>323</v>
      </c>
      <c r="D7" s="5" t="s">
        <v>14</v>
      </c>
      <c r="E7" s="31" t="s">
        <v>324</v>
      </c>
    </row>
    <row r="8" customFormat="false" ht="45.75" hidden="false" customHeight="true" outlineLevel="0" collapsed="false">
      <c r="A8" s="7" t="s">
        <v>325</v>
      </c>
      <c r="B8" s="9" t="s">
        <v>326</v>
      </c>
      <c r="C8" s="8" t="s">
        <v>319</v>
      </c>
      <c r="D8" s="8" t="s">
        <v>25</v>
      </c>
      <c r="E8" s="30" t="s">
        <v>327</v>
      </c>
    </row>
    <row r="9" customFormat="false" ht="45.75" hidden="false" customHeight="true" outlineLevel="0" collapsed="false">
      <c r="A9" s="4" t="s">
        <v>328</v>
      </c>
      <c r="B9" s="6" t="s">
        <v>329</v>
      </c>
      <c r="C9" s="5" t="s">
        <v>319</v>
      </c>
      <c r="D9" s="5" t="s">
        <v>330</v>
      </c>
      <c r="E9" s="31" t="s">
        <v>331</v>
      </c>
    </row>
    <row r="10" customFormat="false" ht="45.75" hidden="false" customHeight="true" outlineLevel="0" collapsed="false">
      <c r="A10" s="7" t="s">
        <v>332</v>
      </c>
      <c r="B10" s="9" t="s">
        <v>333</v>
      </c>
      <c r="C10" s="8" t="s">
        <v>334</v>
      </c>
      <c r="D10" s="8" t="s">
        <v>335</v>
      </c>
      <c r="E10" s="30" t="s">
        <v>336</v>
      </c>
    </row>
    <row r="12" customFormat="false" ht="21.75" hidden="false" customHeight="true" outlineLevel="0" collapsed="false">
      <c r="A12" s="32" t="s">
        <v>337</v>
      </c>
      <c r="B12" s="32"/>
      <c r="C12" s="32"/>
      <c r="D12" s="32"/>
      <c r="E12" s="32"/>
    </row>
    <row r="13" customFormat="false" ht="21.75" hidden="false" customHeight="true" outlineLevel="0" collapsed="false">
      <c r="A13" s="3" t="s">
        <v>255</v>
      </c>
      <c r="B13" s="3" t="s">
        <v>338</v>
      </c>
      <c r="C13" s="3" t="s">
        <v>310</v>
      </c>
      <c r="D13" s="3" t="s">
        <v>339</v>
      </c>
      <c r="E13" s="3" t="s">
        <v>217</v>
      </c>
    </row>
    <row r="14" customFormat="false" ht="39.75" hidden="false" customHeight="true" outlineLevel="0" collapsed="false">
      <c r="A14" s="34" t="s">
        <v>258</v>
      </c>
      <c r="B14" s="14" t="s">
        <v>340</v>
      </c>
      <c r="C14" s="26" t="s">
        <v>319</v>
      </c>
      <c r="D14" s="23" t="s">
        <v>341</v>
      </c>
      <c r="E14" s="28" t="s">
        <v>342</v>
      </c>
    </row>
    <row r="15" customFormat="false" ht="39.75" hidden="false" customHeight="true" outlineLevel="0" collapsed="false">
      <c r="A15" s="35" t="s">
        <v>258</v>
      </c>
      <c r="B15" s="7" t="s">
        <v>343</v>
      </c>
      <c r="C15" s="8" t="s">
        <v>323</v>
      </c>
      <c r="D15" s="9" t="s">
        <v>341</v>
      </c>
      <c r="E15" s="30" t="s">
        <v>344</v>
      </c>
    </row>
    <row r="16" customFormat="false" ht="39.75" hidden="false" customHeight="true" outlineLevel="0" collapsed="false">
      <c r="A16" s="36" t="s">
        <v>278</v>
      </c>
      <c r="B16" s="14" t="s">
        <v>345</v>
      </c>
      <c r="C16" s="26" t="s">
        <v>319</v>
      </c>
      <c r="D16" s="23" t="s">
        <v>341</v>
      </c>
      <c r="E16" s="28" t="s">
        <v>346</v>
      </c>
    </row>
    <row r="17" customFormat="false" ht="39.75" hidden="false" customHeight="true" outlineLevel="0" collapsed="false">
      <c r="A17" s="38" t="s">
        <v>290</v>
      </c>
      <c r="B17" s="7" t="s">
        <v>347</v>
      </c>
      <c r="C17" s="8" t="s">
        <v>348</v>
      </c>
      <c r="D17" s="9" t="s">
        <v>349</v>
      </c>
      <c r="E17" s="30" t="s">
        <v>350</v>
      </c>
    </row>
  </sheetData>
  <mergeCells count="3">
    <mergeCell ref="A1:E1"/>
    <mergeCell ref="A2:E2"/>
    <mergeCell ref="A12:E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60"/>
  </cols>
  <sheetData>
    <row r="1" customFormat="false" ht="25.5" hidden="false" customHeight="true" outlineLevel="0" collapsed="false">
      <c r="A1" s="1" t="s">
        <v>351</v>
      </c>
      <c r="B1" s="1"/>
    </row>
    <row r="3" customFormat="false" ht="24" hidden="false" customHeight="true" outlineLevel="0" collapsed="false">
      <c r="A3" s="3" t="s">
        <v>352</v>
      </c>
      <c r="B3" s="3" t="s">
        <v>353</v>
      </c>
    </row>
    <row r="4" customFormat="false" ht="24" hidden="false" customHeight="true" outlineLevel="0" collapsed="false">
      <c r="A4" s="13" t="s">
        <v>49</v>
      </c>
      <c r="B4" s="23" t="s">
        <v>354</v>
      </c>
    </row>
    <row r="5" customFormat="false" ht="24" hidden="false" customHeight="true" outlineLevel="0" collapsed="false">
      <c r="A5" s="17" t="s">
        <v>12</v>
      </c>
      <c r="B5" s="9" t="s">
        <v>355</v>
      </c>
    </row>
    <row r="6" customFormat="false" ht="24" hidden="false" customHeight="true" outlineLevel="0" collapsed="false">
      <c r="A6" s="13" t="s">
        <v>59</v>
      </c>
      <c r="B6" s="23" t="s">
        <v>356</v>
      </c>
    </row>
    <row r="7" customFormat="false" ht="24" hidden="false" customHeight="true" outlineLevel="0" collapsed="false">
      <c r="A7" s="17" t="s">
        <v>258</v>
      </c>
      <c r="B7" s="9" t="s">
        <v>357</v>
      </c>
    </row>
    <row r="8" customFormat="false" ht="24" hidden="false" customHeight="true" outlineLevel="0" collapsed="false">
      <c r="A8" s="13" t="s">
        <v>278</v>
      </c>
      <c r="B8" s="23" t="s">
        <v>358</v>
      </c>
    </row>
    <row r="9" customFormat="false" ht="24" hidden="false" customHeight="true" outlineLevel="0" collapsed="false">
      <c r="A9" s="17" t="s">
        <v>290</v>
      </c>
      <c r="B9" s="9" t="s">
        <v>359</v>
      </c>
    </row>
    <row r="10" customFormat="false" ht="24" hidden="false" customHeight="true" outlineLevel="0" collapsed="false">
      <c r="A10" s="13" t="s">
        <v>360</v>
      </c>
      <c r="B10" s="23" t="s">
        <v>361</v>
      </c>
    </row>
    <row r="11" customFormat="false" ht="24" hidden="false" customHeight="true" outlineLevel="0" collapsed="false">
      <c r="A11" s="17" t="s">
        <v>362</v>
      </c>
      <c r="B11" s="9" t="s">
        <v>363</v>
      </c>
    </row>
    <row r="12" customFormat="false" ht="24" hidden="false" customHeight="true" outlineLevel="0" collapsed="false">
      <c r="A12" s="13" t="s">
        <v>364</v>
      </c>
      <c r="B12" s="23" t="s">
        <v>365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2026-05-12T04:36:28Z</dcterms:created>
  <dc:creator>openpyxl</dc:creator>
  <dc:description/>
  <dc:language>en-US</dc:language>
  <cp:lastModifiedBy/>
  <dcterms:modified xsi:type="dcterms:W3CDTF">2026-05-12T04:36:28Z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