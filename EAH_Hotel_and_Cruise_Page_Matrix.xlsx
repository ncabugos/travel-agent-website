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Hotel Programs" sheetId="2" state="visible" r:id="rId2"/>
    <sheet name="Cruise Li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i val="1"/>
      <color rgb="FF5C647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A5F"/>
      <sz val="11"/>
    </font>
    <font>
      <name val="Arial"/>
      <charset val="1"/>
      <family val="0"/>
      <color rgb="FF5C6470"/>
      <sz val="9"/>
    </font>
    <font>
      <name val="Arial"/>
      <charset val="1"/>
      <family val="0"/>
      <color rgb="FF5C647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0F8A4F"/>
      <sz val="10"/>
    </font>
    <font>
      <name val="Arial"/>
      <charset val="1"/>
      <family val="0"/>
      <b val="1"/>
      <color rgb="FF5C6470"/>
      <sz val="10"/>
    </font>
    <font>
      <name val="Arial"/>
      <charset val="1"/>
      <family val="0"/>
      <color rgb="FF5C6470"/>
      <sz val="8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2C5282"/>
      <sz val="10"/>
    </font>
    <font>
      <name val="Arial"/>
      <charset val="1"/>
      <family val="0"/>
      <b val="1"/>
      <color rgb="FF4A5568"/>
      <sz val="10"/>
    </font>
    <font>
      <name val="Arial"/>
      <charset val="1"/>
      <family val="0"/>
      <b val="1"/>
      <color rgb="FF718096"/>
      <sz val="10"/>
    </font>
    <font>
      <name val="Arial"/>
      <charset val="1"/>
      <family val="0"/>
      <b val="1"/>
      <color rgb="FF276749"/>
      <sz val="10"/>
    </font>
    <font>
      <name val="Arial"/>
      <charset val="1"/>
      <family val="0"/>
      <b val="1"/>
      <color rgb="FF8B6B2F"/>
      <sz val="10"/>
    </font>
  </fonts>
  <fills count="6">
    <fill>
      <patternFill/>
    </fill>
    <fill>
      <patternFill patternType="gray125"/>
    </fill>
    <fill>
      <patternFill patternType="solid">
        <fgColor rgb="FF1F3A5F"/>
        <bgColor rgb="FF2C5282"/>
      </patternFill>
    </fill>
    <fill>
      <patternFill patternType="solid">
        <fgColor rgb="FFFFFFFF"/>
        <bgColor rgb="FFF4F5F7"/>
      </patternFill>
    </fill>
    <fill>
      <patternFill patternType="solid">
        <fgColor rgb="FFF4F5F7"/>
        <bgColor rgb="FFE8EEF5"/>
      </patternFill>
    </fill>
    <fill>
      <patternFill patternType="solid">
        <fgColor rgb="FFE8EEF5"/>
        <bgColor rgb="FFF4F5F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19" fillId="4" borderId="1" applyAlignment="1" pivotButton="0" quotePrefix="0" xfId="0">
      <alignment horizontal="center" vertical="center" wrapText="1"/>
    </xf>
    <xf numFmtId="164" fontId="19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B2F"/>
      <rgbColor rgb="FF800080"/>
      <rgbColor rgb="FF0F8A4F"/>
      <rgbColor rgb="FFCCCCCC"/>
      <rgbColor rgb="FF718096"/>
      <rgbColor rgb="FF9999FF"/>
      <rgbColor rgb="FF993366"/>
      <rgbColor rgb="FFF4F5F7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969696"/>
      <rgbColor rgb="FF1F3A5F"/>
      <rgbColor rgb="FF339966"/>
      <rgbColor rgb="FF003300"/>
      <rgbColor rgb="FF333300"/>
      <rgbColor rgb="FFC0392B"/>
      <rgbColor rgb="FF993366"/>
      <rgbColor rgb="FF2C5282"/>
      <rgbColor rgb="FF4A556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43" min="1" max="1"/>
    <col width="14" customWidth="1" style="43" min="2" max="7"/>
  </cols>
  <sheetData>
    <row r="1" ht="25.5" customHeight="1" s="44">
      <c r="A1" s="45" t="inlineStr">
        <is>
          <t>Elite Advisor Hub — Hotel &amp; Cruise Page Matrix</t>
        </is>
      </c>
    </row>
    <row r="2" ht="19.5" customHeight="1" s="44">
      <c r="A2" s="46" t="inlineStr">
        <is>
          <t>Inventory of advisor-tenant landing pages built on EAH. Cruise Lines sheet now categorized by Ocean · River · Expedition · Yacht.</t>
        </is>
      </c>
    </row>
    <row r="4" ht="15" customHeight="1" s="44">
      <c r="A4" s="47" t="inlineStr">
        <is>
          <t>Generated:</t>
        </is>
      </c>
      <c r="B4" s="48" t="inlineStr">
        <is>
          <t>2026-05-12 (v2 — expanded categorization)</t>
        </is>
      </c>
    </row>
    <row r="5" ht="15" customHeight="1" s="44">
      <c r="A5" s="47" t="inlineStr">
        <is>
          <t>Source:</t>
        </is>
      </c>
      <c r="B5" s="48" t="inlineStr">
        <is>
          <t>lib/hotel-programs.ts, lib/cruise-lines.ts (cruise_types[]), lib/featured-hotels.ts</t>
        </is>
      </c>
    </row>
    <row r="7" ht="21.75" customHeight="1" s="44">
      <c r="A7" s="49" t="inlineStr">
        <is>
          <t>Category</t>
        </is>
      </c>
      <c r="B7" s="49" t="inlineStr">
        <is>
          <t>Total</t>
        </is>
      </c>
      <c r="C7" s="49" t="inlineStr">
        <is>
          <t>Data Complete</t>
        </is>
      </c>
      <c r="D7" s="49" t="inlineStr">
        <is>
          <t>Designed</t>
        </is>
      </c>
      <c r="E7" s="49" t="inlineStr">
        <is>
          <t>Developed</t>
        </is>
      </c>
      <c r="F7" s="49" t="inlineStr">
        <is>
          <t>Live</t>
        </is>
      </c>
      <c r="G7" s="49" t="inlineStr">
        <is>
          <t>Outstanding</t>
        </is>
      </c>
    </row>
    <row r="8" ht="19.5" customHeight="1" s="44">
      <c r="A8" s="50" t="inlineStr">
        <is>
          <t>Hotel Programs</t>
        </is>
      </c>
      <c r="B8" s="51" t="n">
        <v>20</v>
      </c>
      <c r="C8" s="51" t="n">
        <v>20</v>
      </c>
      <c r="D8" s="51" t="n">
        <v>20</v>
      </c>
      <c r="E8" s="51" t="n">
        <v>20</v>
      </c>
      <c r="F8" s="51" t="n">
        <v>20</v>
      </c>
      <c r="G8" s="51" t="n">
        <v>0</v>
      </c>
    </row>
    <row r="9" ht="19.5" customHeight="1" s="44">
      <c r="A9" s="52" t="inlineStr">
        <is>
          <t>Cruise Lines</t>
        </is>
      </c>
      <c r="B9" s="53" t="n">
        <v>26</v>
      </c>
      <c r="C9" s="53" t="n">
        <v>22</v>
      </c>
      <c r="D9" s="53" t="n">
        <v>24</v>
      </c>
      <c r="E9" s="53" t="n">
        <v>24</v>
      </c>
      <c r="F9" s="53" t="n">
        <v>24</v>
      </c>
      <c r="G9" s="53" t="n">
        <v>4</v>
      </c>
    </row>
    <row r="10" ht="19.5" customHeight="1" s="44">
      <c r="A10" s="54" t="inlineStr">
        <is>
          <t>Total</t>
        </is>
      </c>
      <c r="B10" s="55" t="n">
        <v>46</v>
      </c>
      <c r="C10" s="55" t="n">
        <v>42</v>
      </c>
      <c r="D10" s="55" t="n">
        <v>44</v>
      </c>
      <c r="E10" s="55" t="n">
        <v>44</v>
      </c>
      <c r="F10" s="55" t="n">
        <v>44</v>
      </c>
      <c r="G10" s="55" t="n">
        <v>4</v>
      </c>
    </row>
    <row r="13" ht="21.75" customHeight="1" s="44">
      <c r="A13" s="56" t="inlineStr">
        <is>
          <t>Cruise category breakdown (lines may carry multiple categories)</t>
        </is>
      </c>
    </row>
    <row r="14" ht="21.75" customHeight="1" s="44">
      <c r="A14" s="49" t="inlineStr">
        <is>
          <t>Category</t>
        </is>
      </c>
      <c r="B14" s="49" t="inlineStr">
        <is>
          <t>Lines</t>
        </is>
      </c>
      <c r="C14" s="49" t="inlineStr">
        <is>
          <t>Notes</t>
        </is>
      </c>
      <c r="D14" s="57" t="n"/>
      <c r="E14" s="57" t="n"/>
      <c r="F14" s="57" t="n"/>
      <c r="G14" s="58" t="n"/>
    </row>
    <row r="15" ht="21.75" customHeight="1" s="44">
      <c r="A15" s="59" t="inlineStr">
        <is>
          <t>Ocean</t>
        </is>
      </c>
      <c r="B15" s="51" t="n">
        <v>19</v>
      </c>
      <c r="C15" s="60" t="inlineStr">
        <is>
          <t>Includes mainstream, premium, and luxury ocean-going fleets.</t>
        </is>
      </c>
      <c r="D15" s="57" t="n"/>
      <c r="E15" s="57" t="n"/>
      <c r="F15" s="57" t="n"/>
      <c r="G15" s="58" t="n"/>
    </row>
    <row r="16" ht="21.75" customHeight="1" s="44">
      <c r="A16" s="61" t="inlineStr">
        <is>
          <t>River</t>
        </is>
      </c>
      <c r="B16" s="53" t="n">
        <v>4</v>
      </c>
      <c r="C16" s="62" t="inlineStr">
        <is>
          <t>Includes ocean lines with river product (Viking, Scenic) plus pure-river specialists.</t>
        </is>
      </c>
      <c r="D16" s="57" t="n"/>
      <c r="E16" s="57" t="n"/>
      <c r="F16" s="57" t="n"/>
      <c r="G16" s="58" t="n"/>
    </row>
    <row r="17" ht="21.75" customHeight="1" s="44">
      <c r="A17" s="59" t="inlineStr">
        <is>
          <t>Expedition</t>
        </is>
      </c>
      <c r="B17" s="51" t="n">
        <v>8</v>
      </c>
      <c r="C17" s="60" t="inlineStr">
        <is>
          <t>Polar, Galápagos, small-ship adventure. Some lines (Silversea, Seabourn, Viking) have ocean + expedition fleets.</t>
        </is>
      </c>
      <c r="D17" s="57" t="n"/>
      <c r="E17" s="57" t="n"/>
      <c r="F17" s="57" t="n"/>
      <c r="G17" s="58" t="n"/>
    </row>
    <row r="18" ht="21.75" customHeight="1" s="44">
      <c r="A18" s="61" t="inlineStr">
        <is>
          <t>Yacht</t>
        </is>
      </c>
      <c r="B18" s="53" t="n">
        <v>7</v>
      </c>
      <c r="C18" s="62" t="inlineStr">
        <is>
          <t>Sailing yachts (Star Clippers, Windstar) + small ultra-luxury yachts (Four Seasons, Ponant Le Ponant).</t>
        </is>
      </c>
      <c r="D18" s="57" t="n"/>
      <c r="E18" s="57" t="n"/>
      <c r="F18" s="57" t="n"/>
      <c r="G18" s="58" t="n"/>
    </row>
    <row r="21" ht="21.75" customHeight="1" s="44">
      <c r="A21" s="56" t="inlineStr">
        <is>
          <t>Status Legend</t>
        </is>
      </c>
    </row>
    <row r="22" ht="19.5" customHeight="1" s="44">
      <c r="A22" s="59" t="inlineStr">
        <is>
          <t>Complete</t>
        </is>
      </c>
      <c r="B22" s="60" t="inlineStr">
        <is>
          <t>All required content/design/dev work finished and shipped.</t>
        </is>
      </c>
      <c r="C22" s="57" t="n"/>
      <c r="D22" s="57" t="n"/>
      <c r="E22" s="57" t="n"/>
      <c r="F22" s="57" t="n"/>
      <c r="G22" s="58" t="n"/>
    </row>
    <row r="23" ht="19.5" customHeight="1" s="44">
      <c r="A23" s="61" t="inlineStr">
        <is>
          <t>In Progress</t>
        </is>
      </c>
      <c r="B23" s="62" t="inlineStr">
        <is>
          <t>Started but not yet ready for production.</t>
        </is>
      </c>
      <c r="C23" s="57" t="n"/>
      <c r="D23" s="57" t="n"/>
      <c r="E23" s="57" t="n"/>
      <c r="F23" s="57" t="n"/>
      <c r="G23" s="58" t="n"/>
    </row>
    <row r="24" ht="19.5" customHeight="1" s="44">
      <c r="A24" s="59" t="inlineStr">
        <is>
          <t>To Do</t>
        </is>
      </c>
      <c r="B24" s="60" t="inlineStr">
        <is>
          <t>Not yet started.</t>
        </is>
      </c>
      <c r="C24" s="57" t="n"/>
      <c r="D24" s="57" t="n"/>
      <c r="E24" s="57" t="n"/>
      <c r="F24" s="57" t="n"/>
      <c r="G24" s="58" t="n"/>
    </row>
    <row r="25" ht="19.5" customHeight="1" s="44">
      <c r="A25" s="61" t="inlineStr">
        <is>
          <t>N/A</t>
        </is>
      </c>
      <c r="B25" s="62" t="inlineStr">
        <is>
          <t>Not applicable to this row.</t>
        </is>
      </c>
      <c r="C25" s="57" t="n"/>
      <c r="D25" s="57" t="n"/>
      <c r="E25" s="57" t="n"/>
      <c r="F25" s="57" t="n"/>
      <c r="G25" s="58" t="n"/>
    </row>
    <row r="27" ht="21.75" customHeight="1" s="44">
      <c r="A27" s="56" t="inlineStr">
        <is>
          <t>Notes</t>
        </is>
      </c>
    </row>
    <row r="28" ht="27.75" customHeight="1" s="44">
      <c r="A28" s="63" t="inlineStr">
        <is>
          <t>• All hotel programs and cruise lines listed have a dynamic page rendered at the URL pattern shown on each row.</t>
        </is>
      </c>
    </row>
    <row r="29" ht="27.75" customHeight="1" s="44">
      <c r="A29" s="63" t="inlineStr">
        <is>
          <t>• Data completeness auto-flagged based on whether the program/line has logo, hero image, slider images, benefits/highlights, and a description.</t>
        </is>
      </c>
    </row>
    <row r="30" ht="27.75" customHeight="1" s="44">
      <c r="A30" s="63" t="inlineStr">
        <is>
          <t>• Design and Dev status columns are manual — update as work progresses on tenant sites and templates.</t>
        </is>
      </c>
    </row>
    <row r="31" ht="27.75" customHeight="1" s="44">
      <c r="A31" s="63" t="inlineStr">
        <is>
          <t>• URL patterns use the t4 template (latest). Fill in [agentId] with the actual advisor slug to view each page on the live site.</t>
        </is>
      </c>
    </row>
    <row r="32" ht="27.75" customHeight="1" s="44">
      <c r="A32" s="63" t="inlineStr">
        <is>
          <t>• Cruise line classifications drive the cruise_types[] array in lib/cruise-lines.ts and the /find-cruise filter UI.</t>
        </is>
      </c>
    </row>
    <row r="33" ht="27.75" customHeight="1" s="44">
      <c r="A33" s="63" t="inlineStr">
        <is>
          <t>• Find-cruise hero eyebrow on t2 currently reads 'Ocean · River · Yacht' — update to 'Ocean · River · Expedition · Yacht' to match.</t>
        </is>
      </c>
    </row>
  </sheetData>
  <mergeCells count="19">
    <mergeCell ref="A32:G32"/>
    <mergeCell ref="C15:G15"/>
    <mergeCell ref="B23:G23"/>
    <mergeCell ref="A29:G29"/>
    <mergeCell ref="C14:G14"/>
    <mergeCell ref="A28:G28"/>
    <mergeCell ref="A13:G13"/>
    <mergeCell ref="A31:G31"/>
    <mergeCell ref="C16:G16"/>
    <mergeCell ref="A30:G30"/>
    <mergeCell ref="B24:G24"/>
    <mergeCell ref="A1:G1"/>
    <mergeCell ref="B5:G5"/>
    <mergeCell ref="C17:G17"/>
    <mergeCell ref="B25:G25"/>
    <mergeCell ref="B22:G22"/>
    <mergeCell ref="A2:G2"/>
    <mergeCell ref="A33:G33"/>
    <mergeCell ref="C18:G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43" min="1" max="1"/>
    <col width="28" customWidth="1" style="43" min="2" max="2"/>
    <col width="32" customWidth="1" style="43" min="3" max="3"/>
    <col width="16" customWidth="1" style="43" min="4" max="4"/>
    <col width="14" customWidth="1" style="43" min="5" max="5"/>
    <col width="8" customWidth="1" style="43" min="6" max="7"/>
    <col width="10" customWidth="1" style="43" min="8" max="8"/>
    <col width="12" customWidth="1" style="43" min="9" max="9"/>
    <col width="14" customWidth="1" style="43" min="10" max="10"/>
    <col width="12" customWidth="1" style="43" min="11" max="11"/>
    <col width="40" customWidth="1" style="43" min="12" max="12"/>
    <col width="12" customWidth="1" style="43" min="13" max="13"/>
    <col width="14" customWidth="1" style="43" min="14" max="15"/>
    <col width="12" customWidth="1" style="43" min="16" max="16"/>
    <col width="8" customWidth="1" style="43" min="17" max="17"/>
    <col width="14" customWidth="1" style="43" min="18" max="18"/>
    <col width="30" customWidth="1" style="43" min="19" max="19"/>
  </cols>
  <sheetData>
    <row r="1" ht="36" customHeight="1" s="44">
      <c r="A1" s="49" t="inlineStr">
        <is>
          <t>#</t>
        </is>
      </c>
      <c r="B1" s="49" t="inlineStr">
        <is>
          <t>Slug</t>
        </is>
      </c>
      <c r="C1" s="49" t="inlineStr">
        <is>
          <t>Program Name</t>
        </is>
      </c>
      <c r="D1" s="49" t="inlineStr">
        <is>
          <t>Category</t>
        </is>
      </c>
      <c r="E1" s="49" t="inlineStr">
        <is>
          <t>Properties (advertised)</t>
        </is>
      </c>
      <c r="F1" s="49" t="inlineStr">
        <is>
          <t>Logo</t>
        </is>
      </c>
      <c r="G1" s="49" t="inlineStr">
        <is>
          <t>Hero</t>
        </is>
      </c>
      <c r="H1" s="49" t="inlineStr">
        <is>
          <t>Slider Imgs</t>
        </is>
      </c>
      <c r="I1" s="49" t="inlineStr">
        <is>
          <t>Benefits</t>
        </is>
      </c>
      <c r="J1" s="49" t="inlineStr">
        <is>
          <t>Featured Hotels</t>
        </is>
      </c>
      <c r="K1" s="49" t="inlineStr">
        <is>
          <t>Desc Length</t>
        </is>
      </c>
      <c r="L1" s="49" t="inlineStr">
        <is>
          <t>URL Pattern</t>
        </is>
      </c>
      <c r="M1" s="49" t="inlineStr">
        <is>
          <t>Page Live</t>
        </is>
      </c>
      <c r="N1" s="49" t="inlineStr">
        <is>
          <t>Data Complete</t>
        </is>
      </c>
      <c r="O1" s="49" t="inlineStr">
        <is>
          <t>Design Status</t>
        </is>
      </c>
      <c r="P1" s="49" t="inlineStr">
        <is>
          <t>Dev Status</t>
        </is>
      </c>
      <c r="Q1" s="49" t="inlineStr">
        <is>
          <t>Live</t>
        </is>
      </c>
      <c r="R1" s="49" t="inlineStr">
        <is>
          <t>Last Updated</t>
        </is>
      </c>
      <c r="S1" s="49" t="inlineStr">
        <is>
          <t>Notes</t>
        </is>
      </c>
    </row>
    <row r="2" ht="24" customHeight="1" s="44">
      <c r="A2" s="64" t="n">
        <v>1</v>
      </c>
      <c r="B2" s="65" t="inlineStr">
        <is>
          <t>belmond-bellini-club</t>
        </is>
      </c>
      <c r="C2" s="65" t="inlineStr">
        <is>
          <t>Belmond Bellini Club</t>
        </is>
      </c>
      <c r="D2" s="65" t="inlineStr">
        <is>
          <t>Invitation Only</t>
        </is>
      </c>
      <c r="E2" s="65" t="inlineStr">
        <is>
          <t>—</t>
        </is>
      </c>
      <c r="F2" s="64" t="inlineStr">
        <is>
          <t>✓</t>
        </is>
      </c>
      <c r="G2" s="64" t="inlineStr">
        <is>
          <t>✓</t>
        </is>
      </c>
      <c r="H2" s="64" t="n">
        <v>6</v>
      </c>
      <c r="I2" s="64" t="n">
        <v>8</v>
      </c>
      <c r="J2" s="65" t="n">
        <v>6</v>
      </c>
      <c r="K2" s="65" t="n">
        <v>309</v>
      </c>
      <c r="L2" s="65" t="inlineStr">
        <is>
          <t>/t4/[agentId]/book-hotel/belmond-bellini-club</t>
        </is>
      </c>
      <c r="M2" s="64" t="inlineStr">
        <is>
          <t>Yes</t>
        </is>
      </c>
      <c r="N2" s="64">
        <f>IF(AND(F2="✓",G2="✓",H2&gt;=3,I2&gt;=4,J2&gt;=6,K2&gt;=150),"Complete","In Progress")</f>
        <v/>
      </c>
      <c r="O2" s="64" t="inlineStr">
        <is>
          <t>Complete</t>
        </is>
      </c>
      <c r="P2" s="64" t="inlineStr">
        <is>
          <t>Complete</t>
        </is>
      </c>
      <c r="Q2" s="64" t="inlineStr">
        <is>
          <t>Yes</t>
        </is>
      </c>
      <c r="R2" s="65" t="inlineStr">
        <is>
          <t>2026-04-28</t>
        </is>
      </c>
      <c r="S2" s="65" t="n"/>
    </row>
    <row r="3" ht="24" customHeight="1" s="44">
      <c r="A3" s="66" t="n">
        <v>2</v>
      </c>
      <c r="B3" s="67" t="inlineStr">
        <is>
          <t>dorchester-diamond-club</t>
        </is>
      </c>
      <c r="C3" s="67" t="inlineStr">
        <is>
          <t>Diamond Club — Dorchester Collection</t>
        </is>
      </c>
      <c r="D3" s="67" t="inlineStr">
        <is>
          <t>Invitation Only</t>
        </is>
      </c>
      <c r="E3" s="67" t="n">
        <v>10</v>
      </c>
      <c r="F3" s="66" t="inlineStr">
        <is>
          <t>✓</t>
        </is>
      </c>
      <c r="G3" s="66" t="inlineStr">
        <is>
          <t>✓</t>
        </is>
      </c>
      <c r="H3" s="66" t="n">
        <v>4</v>
      </c>
      <c r="I3" s="66" t="n">
        <v>6</v>
      </c>
      <c r="J3" s="67" t="n">
        <v>6</v>
      </c>
      <c r="K3" s="67" t="n">
        <v>209</v>
      </c>
      <c r="L3" s="67" t="inlineStr">
        <is>
          <t>/t4/[agentId]/book-hotel/dorchester-diamond-club</t>
        </is>
      </c>
      <c r="M3" s="66" t="inlineStr">
        <is>
          <t>Yes</t>
        </is>
      </c>
      <c r="N3" s="66">
        <f>IF(AND(F3="✓",G3="✓",H3&gt;=3,I3&gt;=4,J3&gt;=6,K3&gt;=150),"Complete","In Progress")</f>
        <v/>
      </c>
      <c r="O3" s="66" t="inlineStr">
        <is>
          <t>Complete</t>
        </is>
      </c>
      <c r="P3" s="66" t="inlineStr">
        <is>
          <t>Complete</t>
        </is>
      </c>
      <c r="Q3" s="66" t="inlineStr">
        <is>
          <t>Yes</t>
        </is>
      </c>
      <c r="R3" s="67" t="inlineStr">
        <is>
          <t>2026-04-28</t>
        </is>
      </c>
      <c r="S3" s="67" t="n"/>
    </row>
    <row r="4" ht="24" customHeight="1" s="44">
      <c r="A4" s="64" t="n">
        <v>3</v>
      </c>
      <c r="B4" s="65" t="inlineStr">
        <is>
          <t>four-seasons-preferred-partner</t>
        </is>
      </c>
      <c r="C4" s="65" t="inlineStr">
        <is>
          <t>Four Seasons Preferred Partner</t>
        </is>
      </c>
      <c r="D4" s="65" t="inlineStr">
        <is>
          <t>Invitation Only</t>
        </is>
      </c>
      <c r="E4" s="65" t="n">
        <v>130</v>
      </c>
      <c r="F4" s="64" t="inlineStr">
        <is>
          <t>✓</t>
        </is>
      </c>
      <c r="G4" s="64" t="inlineStr">
        <is>
          <t>✓</t>
        </is>
      </c>
      <c r="H4" s="64" t="n">
        <v>6</v>
      </c>
      <c r="I4" s="64" t="n">
        <v>5</v>
      </c>
      <c r="J4" s="65" t="n">
        <v>6</v>
      </c>
      <c r="K4" s="65" t="n">
        <v>281</v>
      </c>
      <c r="L4" s="65" t="inlineStr">
        <is>
          <t>/t4/[agentId]/book-hotel/four-seasons-preferred-partner</t>
        </is>
      </c>
      <c r="M4" s="64" t="inlineStr">
        <is>
          <t>Yes</t>
        </is>
      </c>
      <c r="N4" s="64">
        <f>IF(AND(F4="✓",G4="✓",H4&gt;=3,I4&gt;=4,J4&gt;=6,K4&gt;=150),"Complete","In Progress")</f>
        <v/>
      </c>
      <c r="O4" s="64" t="inlineStr">
        <is>
          <t>Complete</t>
        </is>
      </c>
      <c r="P4" s="64" t="inlineStr">
        <is>
          <t>Complete</t>
        </is>
      </c>
      <c r="Q4" s="64" t="inlineStr">
        <is>
          <t>Yes</t>
        </is>
      </c>
      <c r="R4" s="65" t="inlineStr">
        <is>
          <t>2026-04-28</t>
        </is>
      </c>
      <c r="S4" s="65" t="n"/>
    </row>
    <row r="5" ht="24" customHeight="1" s="44">
      <c r="A5" s="66" t="n">
        <v>4</v>
      </c>
      <c r="B5" s="67" t="inlineStr">
        <is>
          <t>ritz-carlton-stars</t>
        </is>
      </c>
      <c r="C5" s="67" t="inlineStr">
        <is>
          <t>STARS — The Ritz-Carlton</t>
        </is>
      </c>
      <c r="D5" s="67" t="inlineStr">
        <is>
          <t>Invitation Only</t>
        </is>
      </c>
      <c r="E5" s="67" t="n">
        <v>100</v>
      </c>
      <c r="F5" s="66" t="inlineStr">
        <is>
          <t>✓</t>
        </is>
      </c>
      <c r="G5" s="66" t="inlineStr">
        <is>
          <t>✓</t>
        </is>
      </c>
      <c r="H5" s="66" t="n">
        <v>6</v>
      </c>
      <c r="I5" s="66" t="n">
        <v>6</v>
      </c>
      <c r="J5" s="67" t="n">
        <v>6</v>
      </c>
      <c r="K5" s="67" t="n">
        <v>264</v>
      </c>
      <c r="L5" s="67" t="inlineStr">
        <is>
          <t>/t4/[agentId]/book-hotel/ritz-carlton-stars</t>
        </is>
      </c>
      <c r="M5" s="66" t="inlineStr">
        <is>
          <t>Yes</t>
        </is>
      </c>
      <c r="N5" s="66">
        <f>IF(AND(F5="✓",G5="✓",H5&gt;=3,I5&gt;=4,J5&gt;=6,K5&gt;=150),"Complete","In Progress")</f>
        <v/>
      </c>
      <c r="O5" s="66" t="inlineStr">
        <is>
          <t>Complete</t>
        </is>
      </c>
      <c r="P5" s="66" t="inlineStr">
        <is>
          <t>Complete</t>
        </is>
      </c>
      <c r="Q5" s="66" t="inlineStr">
        <is>
          <t>Yes</t>
        </is>
      </c>
      <c r="R5" s="67" t="inlineStr">
        <is>
          <t>2026-04-28</t>
        </is>
      </c>
      <c r="S5" s="67" t="n"/>
    </row>
    <row r="6" ht="24" customHeight="1" s="44">
      <c r="A6" s="64" t="n">
        <v>5</v>
      </c>
      <c r="B6" s="65" t="inlineStr">
        <is>
          <t>rosewood-elite</t>
        </is>
      </c>
      <c r="C6" s="65" t="inlineStr">
        <is>
          <t>Rosewood Elite</t>
        </is>
      </c>
      <c r="D6" s="65" t="inlineStr">
        <is>
          <t>Invitation Only</t>
        </is>
      </c>
      <c r="E6" s="65" t="n">
        <v>35</v>
      </c>
      <c r="F6" s="64" t="inlineStr">
        <is>
          <t>✓</t>
        </is>
      </c>
      <c r="G6" s="64" t="inlineStr">
        <is>
          <t>✓</t>
        </is>
      </c>
      <c r="H6" s="64" t="n">
        <v>6</v>
      </c>
      <c r="I6" s="64" t="n">
        <v>6</v>
      </c>
      <c r="J6" s="65" t="n">
        <v>6</v>
      </c>
      <c r="K6" s="65" t="n">
        <v>259</v>
      </c>
      <c r="L6" s="65" t="inlineStr">
        <is>
          <t>/t4/[agentId]/book-hotel/rosewood-elite</t>
        </is>
      </c>
      <c r="M6" s="64" t="inlineStr">
        <is>
          <t>Yes</t>
        </is>
      </c>
      <c r="N6" s="64">
        <f>IF(AND(F6="✓",G6="✓",H6&gt;=3,I6&gt;=4,J6&gt;=6,K6&gt;=150),"Complete","In Progress")</f>
        <v/>
      </c>
      <c r="O6" s="64" t="inlineStr">
        <is>
          <t>Complete</t>
        </is>
      </c>
      <c r="P6" s="64" t="inlineStr">
        <is>
          <t>Complete</t>
        </is>
      </c>
      <c r="Q6" s="64" t="inlineStr">
        <is>
          <t>Yes</t>
        </is>
      </c>
      <c r="R6" s="65" t="inlineStr">
        <is>
          <t>2026-04-28</t>
        </is>
      </c>
      <c r="S6" s="65" t="n"/>
    </row>
    <row r="7" ht="24" customHeight="1" s="44">
      <c r="A7" s="66" t="n">
        <v>6</v>
      </c>
      <c r="B7" s="67" t="inlineStr">
        <is>
          <t>hera-accor-hotels</t>
        </is>
      </c>
      <c r="C7" s="67" t="inlineStr">
        <is>
          <t>Accor Preferred by HERA</t>
        </is>
      </c>
      <c r="D7" s="67" t="inlineStr">
        <is>
          <t>Global Network</t>
        </is>
      </c>
      <c r="E7" s="67" t="n">
        <v>5000</v>
      </c>
      <c r="F7" s="66" t="inlineStr">
        <is>
          <t>✓</t>
        </is>
      </c>
      <c r="G7" s="66" t="inlineStr">
        <is>
          <t>✓</t>
        </is>
      </c>
      <c r="H7" s="66" t="n">
        <v>4</v>
      </c>
      <c r="I7" s="66" t="n">
        <v>5</v>
      </c>
      <c r="J7" s="67" t="n">
        <v>6</v>
      </c>
      <c r="K7" s="67" t="n">
        <v>288</v>
      </c>
      <c r="L7" s="67" t="inlineStr">
        <is>
          <t>/t4/[agentId]/book-hotel/hera-accor-hotels</t>
        </is>
      </c>
      <c r="M7" s="66" t="inlineStr">
        <is>
          <t>Yes</t>
        </is>
      </c>
      <c r="N7" s="66">
        <f>IF(AND(F7="✓",G7="✓",H7&gt;=3,I7&gt;=4,J7&gt;=6,K7&gt;=150),"Complete","In Progress")</f>
        <v/>
      </c>
      <c r="O7" s="66" t="inlineStr">
        <is>
          <t>Complete</t>
        </is>
      </c>
      <c r="P7" s="66" t="inlineStr">
        <is>
          <t>Complete</t>
        </is>
      </c>
      <c r="Q7" s="66" t="inlineStr">
        <is>
          <t>Yes</t>
        </is>
      </c>
      <c r="R7" s="67" t="inlineStr">
        <is>
          <t>2026-04-28</t>
        </is>
      </c>
      <c r="S7" s="67" t="n"/>
    </row>
    <row r="8" ht="24" customHeight="1" s="44">
      <c r="A8" s="64" t="n">
        <v>7</v>
      </c>
      <c r="B8" s="65" t="inlineStr">
        <is>
          <t>mandarin-oriental-fan-club</t>
        </is>
      </c>
      <c r="C8" s="65" t="inlineStr">
        <is>
          <t>Mandarin Oriental Fan Club</t>
        </is>
      </c>
      <c r="D8" s="65" t="inlineStr">
        <is>
          <t>Invitation Only</t>
        </is>
      </c>
      <c r="E8" s="65" t="n">
        <v>35</v>
      </c>
      <c r="F8" s="64" t="inlineStr">
        <is>
          <t>✓</t>
        </is>
      </c>
      <c r="G8" s="64" t="inlineStr">
        <is>
          <t>✓</t>
        </is>
      </c>
      <c r="H8" s="64" t="n">
        <v>6</v>
      </c>
      <c r="I8" s="64" t="n">
        <v>5</v>
      </c>
      <c r="J8" s="65" t="n">
        <v>6</v>
      </c>
      <c r="K8" s="65" t="n">
        <v>210</v>
      </c>
      <c r="L8" s="65" t="inlineStr">
        <is>
          <t>/t4/[agentId]/book-hotel/mandarin-oriental-fan-club</t>
        </is>
      </c>
      <c r="M8" s="64" t="inlineStr">
        <is>
          <t>Yes</t>
        </is>
      </c>
      <c r="N8" s="64">
        <f>IF(AND(F8="✓",G8="✓",H8&gt;=3,I8&gt;=4,J8&gt;=6,K8&gt;=150),"Complete","In Progress")</f>
        <v/>
      </c>
      <c r="O8" s="64" t="inlineStr">
        <is>
          <t>Complete</t>
        </is>
      </c>
      <c r="P8" s="64" t="inlineStr">
        <is>
          <t>Complete</t>
        </is>
      </c>
      <c r="Q8" s="64" t="inlineStr">
        <is>
          <t>Yes</t>
        </is>
      </c>
      <c r="R8" s="65" t="inlineStr">
        <is>
          <t>2026-04-28</t>
        </is>
      </c>
      <c r="S8" s="65" t="n"/>
    </row>
    <row r="9" ht="24" customHeight="1" s="44">
      <c r="A9" s="66" t="n">
        <v>8</v>
      </c>
      <c r="B9" s="67" t="inlineStr">
        <is>
          <t>shangri-la-hotels-the-luxury-circle</t>
        </is>
      </c>
      <c r="C9" s="67" t="inlineStr">
        <is>
          <t>Shangri-La — The Luxury Circle</t>
        </is>
      </c>
      <c r="D9" s="67" t="inlineStr">
        <is>
          <t>Invitation Only</t>
        </is>
      </c>
      <c r="E9" s="67" t="n">
        <v>100</v>
      </c>
      <c r="F9" s="66" t="inlineStr">
        <is>
          <t>✓</t>
        </is>
      </c>
      <c r="G9" s="66" t="inlineStr">
        <is>
          <t>✓</t>
        </is>
      </c>
      <c r="H9" s="66" t="n">
        <v>6</v>
      </c>
      <c r="I9" s="66" t="n">
        <v>7</v>
      </c>
      <c r="J9" s="67" t="n">
        <v>6</v>
      </c>
      <c r="K9" s="67" t="n">
        <v>260</v>
      </c>
      <c r="L9" s="67" t="inlineStr">
        <is>
          <t>/t4/[agentId]/book-hotel/shangri-la-hotels-the-luxury-circle</t>
        </is>
      </c>
      <c r="M9" s="66" t="inlineStr">
        <is>
          <t>Yes</t>
        </is>
      </c>
      <c r="N9" s="66">
        <f>IF(AND(F9="✓",G9="✓",H9&gt;=3,I9&gt;=4,J9&gt;=6,K9&gt;=150),"Complete","In Progress")</f>
        <v/>
      </c>
      <c r="O9" s="66" t="inlineStr">
        <is>
          <t>Complete</t>
        </is>
      </c>
      <c r="P9" s="66" t="inlineStr">
        <is>
          <t>Complete</t>
        </is>
      </c>
      <c r="Q9" s="66" t="inlineStr">
        <is>
          <t>Yes</t>
        </is>
      </c>
      <c r="R9" s="67" t="inlineStr">
        <is>
          <t>2026-04-28</t>
        </is>
      </c>
      <c r="S9" s="67" t="n"/>
    </row>
    <row r="10" ht="24" customHeight="1" s="44">
      <c r="A10" s="64" t="n">
        <v>9</v>
      </c>
      <c r="B10" s="65" t="inlineStr">
        <is>
          <t>rocco-forte-hotels</t>
        </is>
      </c>
      <c r="C10" s="65" t="inlineStr">
        <is>
          <t>Sir Rocco's Knights — Rocco Forte Hotels</t>
        </is>
      </c>
      <c r="D10" s="65" t="inlineStr">
        <is>
          <t>Invitation Only</t>
        </is>
      </c>
      <c r="E10" s="65" t="n">
        <v>14</v>
      </c>
      <c r="F10" s="64" t="inlineStr">
        <is>
          <t>✓</t>
        </is>
      </c>
      <c r="G10" s="64" t="inlineStr">
        <is>
          <t>✓</t>
        </is>
      </c>
      <c r="H10" s="64" t="n">
        <v>6</v>
      </c>
      <c r="I10" s="64" t="n">
        <v>6</v>
      </c>
      <c r="J10" s="65" t="n">
        <v>6</v>
      </c>
      <c r="K10" s="65" t="n">
        <v>277</v>
      </c>
      <c r="L10" s="65" t="inlineStr">
        <is>
          <t>/t4/[agentId]/book-hotel/rocco-forte-hotels</t>
        </is>
      </c>
      <c r="M10" s="64" t="inlineStr">
        <is>
          <t>Yes</t>
        </is>
      </c>
      <c r="N10" s="64">
        <f>IF(AND(F10="✓",G10="✓",H10&gt;=3,I10&gt;=4,J10&gt;=6,K10&gt;=150),"Complete","In Progress")</f>
        <v/>
      </c>
      <c r="O10" s="64" t="inlineStr">
        <is>
          <t>Complete</t>
        </is>
      </c>
      <c r="P10" s="64" t="inlineStr">
        <is>
          <t>Complete</t>
        </is>
      </c>
      <c r="Q10" s="64" t="inlineStr">
        <is>
          <t>Yes</t>
        </is>
      </c>
      <c r="R10" s="65" t="inlineStr">
        <is>
          <t>2026-04-28</t>
        </is>
      </c>
      <c r="S10" s="65" t="n"/>
    </row>
    <row r="11" ht="24" customHeight="1" s="44">
      <c r="A11" s="66" t="n">
        <v>10</v>
      </c>
      <c r="B11" s="67" t="inlineStr">
        <is>
          <t>one-and-only-hotels-and-resorts</t>
        </is>
      </c>
      <c r="C11" s="67" t="inlineStr">
        <is>
          <t>One&amp;Only</t>
        </is>
      </c>
      <c r="D11" s="67" t="inlineStr">
        <is>
          <t>Brand Programme</t>
        </is>
      </c>
      <c r="E11" s="67" t="n">
        <v>15</v>
      </c>
      <c r="F11" s="66" t="inlineStr">
        <is>
          <t>✓</t>
        </is>
      </c>
      <c r="G11" s="66" t="inlineStr">
        <is>
          <t>✓</t>
        </is>
      </c>
      <c r="H11" s="66" t="n">
        <v>4</v>
      </c>
      <c r="I11" s="66" t="n">
        <v>7</v>
      </c>
      <c r="J11" s="67" t="n">
        <v>6</v>
      </c>
      <c r="K11" s="67" t="n">
        <v>267</v>
      </c>
      <c r="L11" s="67" t="inlineStr">
        <is>
          <t>/t4/[agentId]/book-hotel/one-and-only-hotels-and-resorts</t>
        </is>
      </c>
      <c r="M11" s="66" t="inlineStr">
        <is>
          <t>Yes</t>
        </is>
      </c>
      <c r="N11" s="66">
        <f>IF(AND(F11="✓",G11="✓",H11&gt;=3,I11&gt;=4,J11&gt;=6,K11&gt;=150),"Complete","In Progress")</f>
        <v/>
      </c>
      <c r="O11" s="66" t="inlineStr">
        <is>
          <t>Complete</t>
        </is>
      </c>
      <c r="P11" s="66" t="inlineStr">
        <is>
          <t>Complete</t>
        </is>
      </c>
      <c r="Q11" s="66" t="inlineStr">
        <is>
          <t>Yes</t>
        </is>
      </c>
      <c r="R11" s="67" t="inlineStr">
        <is>
          <t>2026-04-28</t>
        </is>
      </c>
      <c r="S11" s="67" t="n"/>
    </row>
    <row r="12" ht="24" customHeight="1" s="44">
      <c r="A12" s="64" t="n">
        <v>11</v>
      </c>
      <c r="B12" s="65" t="inlineStr">
        <is>
          <t>auberge-resorts-collection</t>
        </is>
      </c>
      <c r="C12" s="65" t="inlineStr">
        <is>
          <t>Auberge Resorts Collection</t>
        </is>
      </c>
      <c r="D12" s="65" t="inlineStr">
        <is>
          <t>Brand Programme</t>
        </is>
      </c>
      <c r="E12" s="65" t="n">
        <v>25</v>
      </c>
      <c r="F12" s="64" t="inlineStr">
        <is>
          <t>✓</t>
        </is>
      </c>
      <c r="G12" s="64" t="inlineStr">
        <is>
          <t>✓</t>
        </is>
      </c>
      <c r="H12" s="64" t="n">
        <v>4</v>
      </c>
      <c r="I12" s="64" t="n">
        <v>6</v>
      </c>
      <c r="J12" s="65" t="n">
        <v>6</v>
      </c>
      <c r="K12" s="65" t="n">
        <v>283</v>
      </c>
      <c r="L12" s="65" t="inlineStr">
        <is>
          <t>/t4/[agentId]/book-hotel/auberge-resorts-collection</t>
        </is>
      </c>
      <c r="M12" s="64" t="inlineStr">
        <is>
          <t>Yes</t>
        </is>
      </c>
      <c r="N12" s="64">
        <f>IF(AND(F12="✓",G12="✓",H12&gt;=3,I12&gt;=4,J12&gt;=6,K12&gt;=150),"Complete","In Progress")</f>
        <v/>
      </c>
      <c r="O12" s="64" t="inlineStr">
        <is>
          <t>Complete</t>
        </is>
      </c>
      <c r="P12" s="64" t="inlineStr">
        <is>
          <t>Complete</t>
        </is>
      </c>
      <c r="Q12" s="64" t="inlineStr">
        <is>
          <t>Yes</t>
        </is>
      </c>
      <c r="R12" s="65" t="inlineStr">
        <is>
          <t>2026-04-28</t>
        </is>
      </c>
      <c r="S12" s="65" t="n"/>
    </row>
    <row r="13" ht="24" customHeight="1" s="44">
      <c r="A13" s="66" t="n">
        <v>12</v>
      </c>
      <c r="B13" s="67" t="inlineStr">
        <is>
          <t>hyatt-prive</t>
        </is>
      </c>
      <c r="C13" s="67" t="inlineStr">
        <is>
          <t>World of Hyatt Privé</t>
        </is>
      </c>
      <c r="D13" s="67" t="inlineStr">
        <is>
          <t>Invitation Only</t>
        </is>
      </c>
      <c r="E13" s="67" t="n">
        <v>1000</v>
      </c>
      <c r="F13" s="66" t="inlineStr">
        <is>
          <t>✓</t>
        </is>
      </c>
      <c r="G13" s="66" t="inlineStr">
        <is>
          <t>✓</t>
        </is>
      </c>
      <c r="H13" s="66" t="n">
        <v>4</v>
      </c>
      <c r="I13" s="66" t="n">
        <v>6</v>
      </c>
      <c r="J13" s="67" t="n">
        <v>6</v>
      </c>
      <c r="K13" s="67" t="n">
        <v>271</v>
      </c>
      <c r="L13" s="67" t="inlineStr">
        <is>
          <t>/t4/[agentId]/book-hotel/hyatt-prive</t>
        </is>
      </c>
      <c r="M13" s="66" t="inlineStr">
        <is>
          <t>Yes</t>
        </is>
      </c>
      <c r="N13" s="66">
        <f>IF(AND(F13="✓",G13="✓",H13&gt;=3,I13&gt;=4,J13&gt;=6,K13&gt;=150),"Complete","In Progress")</f>
        <v/>
      </c>
      <c r="O13" s="66" t="inlineStr">
        <is>
          <t>Complete</t>
        </is>
      </c>
      <c r="P13" s="66" t="inlineStr">
        <is>
          <t>Complete</t>
        </is>
      </c>
      <c r="Q13" s="66" t="inlineStr">
        <is>
          <t>Yes</t>
        </is>
      </c>
      <c r="R13" s="67" t="inlineStr">
        <is>
          <t>2026-04-28</t>
        </is>
      </c>
      <c r="S13" s="67" t="n"/>
    </row>
    <row r="14" ht="24" customHeight="1" s="44">
      <c r="A14" s="64" t="n">
        <v>13</v>
      </c>
      <c r="B14" s="65" t="inlineStr">
        <is>
          <t>kempinski-club-1897</t>
        </is>
      </c>
      <c r="C14" s="65" t="inlineStr">
        <is>
          <t>Club 1897 — Kempinski</t>
        </is>
      </c>
      <c r="D14" s="65" t="inlineStr">
        <is>
          <t>Invitation Only</t>
        </is>
      </c>
      <c r="E14" s="65" t="n">
        <v>75</v>
      </c>
      <c r="F14" s="64" t="inlineStr">
        <is>
          <t>✓</t>
        </is>
      </c>
      <c r="G14" s="64" t="inlineStr">
        <is>
          <t>✓</t>
        </is>
      </c>
      <c r="H14" s="64" t="n">
        <v>6</v>
      </c>
      <c r="I14" s="64" t="n">
        <v>7</v>
      </c>
      <c r="J14" s="65" t="n">
        <v>6</v>
      </c>
      <c r="K14" s="65" t="n">
        <v>254</v>
      </c>
      <c r="L14" s="65" t="inlineStr">
        <is>
          <t>/t4/[agentId]/book-hotel/kempinski-club-1897</t>
        </is>
      </c>
      <c r="M14" s="64" t="inlineStr">
        <is>
          <t>Yes</t>
        </is>
      </c>
      <c r="N14" s="64">
        <f>IF(AND(F14="✓",G14="✓",H14&gt;=3,I14&gt;=4,J14&gt;=6,K14&gt;=150),"Complete","In Progress")</f>
        <v/>
      </c>
      <c r="O14" s="64" t="inlineStr">
        <is>
          <t>Complete</t>
        </is>
      </c>
      <c r="P14" s="64" t="inlineStr">
        <is>
          <t>Complete</t>
        </is>
      </c>
      <c r="Q14" s="64" t="inlineStr">
        <is>
          <t>Yes</t>
        </is>
      </c>
      <c r="R14" s="65" t="inlineStr">
        <is>
          <t>2026-04-28</t>
        </is>
      </c>
      <c r="S14" s="65" t="n"/>
    </row>
    <row r="15" ht="24" customHeight="1" s="44">
      <c r="A15" s="66" t="n">
        <v>14</v>
      </c>
      <c r="B15" s="67" t="inlineStr">
        <is>
          <t>peninsula-pen-club</t>
        </is>
      </c>
      <c r="C15" s="67" t="inlineStr">
        <is>
          <t>The Peninsula PenClub</t>
        </is>
      </c>
      <c r="D15" s="67" t="inlineStr">
        <is>
          <t>Invitation Only</t>
        </is>
      </c>
      <c r="E15" s="67" t="n">
        <v>14</v>
      </c>
      <c r="F15" s="66" t="inlineStr">
        <is>
          <t>✓</t>
        </is>
      </c>
      <c r="G15" s="66" t="inlineStr">
        <is>
          <t>✓</t>
        </is>
      </c>
      <c r="H15" s="66" t="n">
        <v>6</v>
      </c>
      <c r="I15" s="66" t="n">
        <v>6</v>
      </c>
      <c r="J15" s="67" t="n">
        <v>6</v>
      </c>
      <c r="K15" s="67" t="n">
        <v>266</v>
      </c>
      <c r="L15" s="67" t="inlineStr">
        <is>
          <t>/t4/[agentId]/book-hotel/peninsula-pen-club</t>
        </is>
      </c>
      <c r="M15" s="66" t="inlineStr">
        <is>
          <t>Yes</t>
        </is>
      </c>
      <c r="N15" s="66">
        <f>IF(AND(F15="✓",G15="✓",H15&gt;=3,I15&gt;=4,J15&gt;=6,K15&gt;=150),"Complete","In Progress")</f>
        <v/>
      </c>
      <c r="O15" s="66" t="inlineStr">
        <is>
          <t>Complete</t>
        </is>
      </c>
      <c r="P15" s="66" t="inlineStr">
        <is>
          <t>Complete</t>
        </is>
      </c>
      <c r="Q15" s="66" t="inlineStr">
        <is>
          <t>Yes</t>
        </is>
      </c>
      <c r="R15" s="67" t="inlineStr">
        <is>
          <t>2026-04-28</t>
        </is>
      </c>
      <c r="S15" s="67" t="n"/>
    </row>
    <row r="16" ht="24" customHeight="1" s="44">
      <c r="A16" s="64" t="n">
        <v>15</v>
      </c>
      <c r="B16" s="65" t="inlineStr">
        <is>
          <t>como-hotels</t>
        </is>
      </c>
      <c r="C16" s="65" t="inlineStr">
        <is>
          <t>COMO Hotels and Resorts</t>
        </is>
      </c>
      <c r="D16" s="65" t="inlineStr">
        <is>
          <t>Brand Programme</t>
        </is>
      </c>
      <c r="E16" s="65" t="n">
        <v>20</v>
      </c>
      <c r="F16" s="64" t="inlineStr">
        <is>
          <t>✓</t>
        </is>
      </c>
      <c r="G16" s="64" t="inlineStr">
        <is>
          <t>✓</t>
        </is>
      </c>
      <c r="H16" s="64" t="n">
        <v>3</v>
      </c>
      <c r="I16" s="64" t="n">
        <v>6</v>
      </c>
      <c r="J16" s="65" t="n">
        <v>6</v>
      </c>
      <c r="K16" s="65" t="n">
        <v>294</v>
      </c>
      <c r="L16" s="65" t="inlineStr">
        <is>
          <t>/t4/[agentId]/book-hotel/como-hotels</t>
        </is>
      </c>
      <c r="M16" s="64" t="inlineStr">
        <is>
          <t>Yes</t>
        </is>
      </c>
      <c r="N16" s="64">
        <f>IF(AND(F16="✓",G16="✓",H16&gt;=3,I16&gt;=4,J16&gt;=6,K16&gt;=150),"Complete","In Progress")</f>
        <v/>
      </c>
      <c r="O16" s="64" t="inlineStr">
        <is>
          <t>Complete</t>
        </is>
      </c>
      <c r="P16" s="64" t="inlineStr">
        <is>
          <t>Complete</t>
        </is>
      </c>
      <c r="Q16" s="64" t="inlineStr">
        <is>
          <t>Yes</t>
        </is>
      </c>
      <c r="R16" s="65" t="inlineStr">
        <is>
          <t>2026-04-28</t>
        </is>
      </c>
      <c r="S16" s="65" t="n"/>
    </row>
    <row r="17" ht="24" customHeight="1" s="44">
      <c r="A17" s="66" t="n">
        <v>16</v>
      </c>
      <c r="B17" s="67" t="inlineStr">
        <is>
          <t>oetker-hotel-collection-pearl-partner</t>
        </is>
      </c>
      <c r="C17" s="67" t="inlineStr">
        <is>
          <t>Pearl Partner — Oetker Collection</t>
        </is>
      </c>
      <c r="D17" s="67" t="inlineStr">
        <is>
          <t>Invitation Only</t>
        </is>
      </c>
      <c r="E17" s="67" t="n">
        <v>10</v>
      </c>
      <c r="F17" s="66" t="inlineStr">
        <is>
          <t>✓</t>
        </is>
      </c>
      <c r="G17" s="66" t="inlineStr">
        <is>
          <t>✓</t>
        </is>
      </c>
      <c r="H17" s="66" t="n">
        <v>4</v>
      </c>
      <c r="I17" s="66" t="n">
        <v>6</v>
      </c>
      <c r="J17" s="67" t="n">
        <v>6</v>
      </c>
      <c r="K17" s="67" t="n">
        <v>281</v>
      </c>
      <c r="L17" s="67" t="inlineStr">
        <is>
          <t>/t4/[agentId]/book-hotel/oetker-hotel-collection-pearl-partner</t>
        </is>
      </c>
      <c r="M17" s="66" t="inlineStr">
        <is>
          <t>Yes</t>
        </is>
      </c>
      <c r="N17" s="66">
        <f>IF(AND(F17="✓",G17="✓",H17&gt;=3,I17&gt;=4,J17&gt;=6,K17&gt;=150),"Complete","In Progress")</f>
        <v/>
      </c>
      <c r="O17" s="66" t="inlineStr">
        <is>
          <t>Complete</t>
        </is>
      </c>
      <c r="P17" s="66" t="inlineStr">
        <is>
          <t>Complete</t>
        </is>
      </c>
      <c r="Q17" s="66" t="inlineStr">
        <is>
          <t>Yes</t>
        </is>
      </c>
      <c r="R17" s="67" t="inlineStr">
        <is>
          <t>2026-04-28</t>
        </is>
      </c>
      <c r="S17" s="67" t="n"/>
    </row>
    <row r="18" ht="24" customHeight="1" s="44">
      <c r="A18" s="64" t="n">
        <v>17</v>
      </c>
      <c r="B18" s="65" t="inlineStr">
        <is>
          <t>aman-hotels-and-resorts</t>
        </is>
      </c>
      <c r="C18" s="65" t="inlineStr">
        <is>
          <t>AMAN</t>
        </is>
      </c>
      <c r="D18" s="65" t="inlineStr">
        <is>
          <t>Brand Programme</t>
        </is>
      </c>
      <c r="E18" s="65" t="n">
        <v>35</v>
      </c>
      <c r="F18" s="64" t="inlineStr">
        <is>
          <t>✓</t>
        </is>
      </c>
      <c r="G18" s="64" t="inlineStr">
        <is>
          <t>✓</t>
        </is>
      </c>
      <c r="H18" s="64" t="n">
        <v>6</v>
      </c>
      <c r="I18" s="64" t="n">
        <v>6</v>
      </c>
      <c r="J18" s="65" t="n">
        <v>6</v>
      </c>
      <c r="K18" s="65" t="n">
        <v>326</v>
      </c>
      <c r="L18" s="65" t="inlineStr">
        <is>
          <t>/t4/[agentId]/book-hotel/aman-hotels-and-resorts</t>
        </is>
      </c>
      <c r="M18" s="64" t="inlineStr">
        <is>
          <t>Yes</t>
        </is>
      </c>
      <c r="N18" s="64">
        <f>IF(AND(F18="✓",G18="✓",H18&gt;=3,I18&gt;=4,J18&gt;=6,K18&gt;=150),"Complete","In Progress")</f>
        <v/>
      </c>
      <c r="O18" s="64" t="inlineStr">
        <is>
          <t>Complete</t>
        </is>
      </c>
      <c r="P18" s="64" t="inlineStr">
        <is>
          <t>Complete</t>
        </is>
      </c>
      <c r="Q18" s="64" t="inlineStr">
        <is>
          <t>Yes</t>
        </is>
      </c>
      <c r="R18" s="65" t="inlineStr">
        <is>
          <t>2026-04-28</t>
        </is>
      </c>
      <c r="S18" s="65" t="n"/>
    </row>
    <row r="19" ht="24" customHeight="1" s="44">
      <c r="A19" s="66" t="n">
        <v>18</v>
      </c>
      <c r="B19" s="67" t="inlineStr">
        <is>
          <t>montage-hotels</t>
        </is>
      </c>
      <c r="C19" s="67" t="inlineStr">
        <is>
          <t>Montage Hotels &amp; Resorts</t>
        </is>
      </c>
      <c r="D19" s="67" t="inlineStr">
        <is>
          <t>Brand Programme</t>
        </is>
      </c>
      <c r="E19" s="67" t="n">
        <v>12</v>
      </c>
      <c r="F19" s="66" t="inlineStr">
        <is>
          <t>✓</t>
        </is>
      </c>
      <c r="G19" s="66" t="inlineStr">
        <is>
          <t>✓</t>
        </is>
      </c>
      <c r="H19" s="66" t="n">
        <v>4</v>
      </c>
      <c r="I19" s="66" t="n">
        <v>6</v>
      </c>
      <c r="J19" s="67" t="n">
        <v>6</v>
      </c>
      <c r="K19" s="67" t="n">
        <v>298</v>
      </c>
      <c r="L19" s="67" t="inlineStr">
        <is>
          <t>/t4/[agentId]/book-hotel/montage-hotels</t>
        </is>
      </c>
      <c r="M19" s="66" t="inlineStr">
        <is>
          <t>Yes</t>
        </is>
      </c>
      <c r="N19" s="66">
        <f>IF(AND(F19="✓",G19="✓",H19&gt;=3,I19&gt;=4,J19&gt;=6,K19&gt;=150),"Complete","In Progress")</f>
        <v/>
      </c>
      <c r="O19" s="66" t="inlineStr">
        <is>
          <t>Complete</t>
        </is>
      </c>
      <c r="P19" s="66" t="inlineStr">
        <is>
          <t>Complete</t>
        </is>
      </c>
      <c r="Q19" s="66" t="inlineStr">
        <is>
          <t>Yes</t>
        </is>
      </c>
      <c r="R19" s="67" t="inlineStr">
        <is>
          <t>2026-04-28</t>
        </is>
      </c>
      <c r="S19" s="67" t="n"/>
    </row>
    <row r="20" ht="24" customHeight="1" s="44">
      <c r="A20" s="64" t="n">
        <v>19</v>
      </c>
      <c r="B20" s="65" t="inlineStr">
        <is>
          <t>marriott-international-luminous</t>
        </is>
      </c>
      <c r="C20" s="65" t="inlineStr">
        <is>
          <t>Marriott International — Stars &amp; Luminous</t>
        </is>
      </c>
      <c r="D20" s="65" t="inlineStr">
        <is>
          <t>Global Network</t>
        </is>
      </c>
      <c r="E20" s="65" t="n">
        <v>250</v>
      </c>
      <c r="F20" s="64" t="inlineStr">
        <is>
          <t>✓</t>
        </is>
      </c>
      <c r="G20" s="64" t="inlineStr">
        <is>
          <t>✓</t>
        </is>
      </c>
      <c r="H20" s="64" t="n">
        <v>10</v>
      </c>
      <c r="I20" s="64" t="n">
        <v>6</v>
      </c>
      <c r="J20" s="65" t="n">
        <v>6</v>
      </c>
      <c r="K20" s="65" t="n">
        <v>301</v>
      </c>
      <c r="L20" s="65" t="inlineStr">
        <is>
          <t>/t4/[agentId]/book-hotel/marriott-international-luminous</t>
        </is>
      </c>
      <c r="M20" s="64" t="inlineStr">
        <is>
          <t>Yes</t>
        </is>
      </c>
      <c r="N20" s="64">
        <f>IF(AND(F20="✓",G20="✓",H20&gt;=3,I20&gt;=4,J20&gt;=6,K20&gt;=150),"Complete","In Progress")</f>
        <v/>
      </c>
      <c r="O20" s="64" t="inlineStr">
        <is>
          <t>Complete</t>
        </is>
      </c>
      <c r="P20" s="64" t="inlineStr">
        <is>
          <t>Complete</t>
        </is>
      </c>
      <c r="Q20" s="64" t="inlineStr">
        <is>
          <t>Yes</t>
        </is>
      </c>
      <c r="R20" s="65" t="inlineStr">
        <is>
          <t>2026-04-28</t>
        </is>
      </c>
      <c r="S20" s="65" t="n"/>
    </row>
    <row r="21" ht="24" customHeight="1" s="44">
      <c r="A21" s="66" t="n">
        <v>20</v>
      </c>
      <c r="B21" s="67" t="inlineStr">
        <is>
          <t>leading-hotels-of-the-world</t>
        </is>
      </c>
      <c r="C21" s="67" t="inlineStr">
        <is>
          <t>The Leading Hotels of the World</t>
        </is>
      </c>
      <c r="D21" s="67" t="inlineStr">
        <is>
          <t>Global Network</t>
        </is>
      </c>
      <c r="E21" s="67" t="n">
        <v>400</v>
      </c>
      <c r="F21" s="66" t="inlineStr">
        <is>
          <t>✓</t>
        </is>
      </c>
      <c r="G21" s="66" t="inlineStr">
        <is>
          <t>✓</t>
        </is>
      </c>
      <c r="H21" s="66" t="n">
        <v>6</v>
      </c>
      <c r="I21" s="66" t="n">
        <v>4</v>
      </c>
      <c r="J21" s="67" t="n">
        <v>6</v>
      </c>
      <c r="K21" s="67" t="n">
        <v>450</v>
      </c>
      <c r="L21" s="67" t="inlineStr">
        <is>
          <t>/t4/[agentId]/book-hotel/leading-hotels-of-the-world</t>
        </is>
      </c>
      <c r="M21" s="66" t="inlineStr">
        <is>
          <t>Yes</t>
        </is>
      </c>
      <c r="N21" s="66">
        <f>IF(AND(F21="✓",G21="✓",H21&gt;=3,I21&gt;=4,J21&gt;=6,K21&gt;=150),"Complete","In Progress")</f>
        <v/>
      </c>
      <c r="O21" s="66" t="inlineStr">
        <is>
          <t>Complete</t>
        </is>
      </c>
      <c r="P21" s="66" t="inlineStr">
        <is>
          <t>Complete</t>
        </is>
      </c>
      <c r="Q21" s="66" t="inlineStr">
        <is>
          <t>Yes</t>
        </is>
      </c>
      <c r="R21" s="67" t="inlineStr">
        <is>
          <t>2026-04-28</t>
        </is>
      </c>
      <c r="S21" s="6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" customWidth="1" style="43" min="1" max="1"/>
    <col width="22" customWidth="1" style="43" min="2" max="3"/>
    <col width="36" customWidth="1" style="43" min="4" max="4"/>
    <col width="14" customWidth="1" style="43" min="5" max="5"/>
    <col width="8" customWidth="1" style="43" min="6" max="7"/>
    <col width="11" customWidth="1" style="43" min="8" max="8"/>
    <col width="8" customWidth="1" style="43" min="9" max="11"/>
    <col width="10" customWidth="1" style="43" min="12" max="12"/>
    <col width="11" customWidth="1" style="43" min="13" max="13"/>
    <col width="8" customWidth="1" style="43" min="14" max="14"/>
    <col width="12" customWidth="1" style="43" min="15" max="15"/>
    <col width="36" customWidth="1" style="43" min="16" max="16"/>
    <col width="11" customWidth="1" style="43" min="17" max="17"/>
    <col width="14" customWidth="1" style="43" min="18" max="19"/>
    <col width="12" customWidth="1" style="43" min="20" max="20"/>
    <col width="8" customWidth="1" style="43" min="21" max="21"/>
    <col width="14" customWidth="1" style="43" min="22" max="22"/>
    <col width="50" customWidth="1" style="43" min="23" max="23"/>
  </cols>
  <sheetData>
    <row r="1" ht="36" customHeight="1" s="44">
      <c r="A1" s="49" t="inlineStr">
        <is>
          <t>#</t>
        </is>
      </c>
      <c r="B1" s="49" t="inlineStr">
        <is>
          <t>Slug</t>
        </is>
      </c>
      <c r="C1" s="49" t="inlineStr">
        <is>
          <t>Cruise Line</t>
        </is>
      </c>
      <c r="D1" s="49" t="inlineStr">
        <is>
          <t>Tagline</t>
        </is>
      </c>
      <c r="E1" s="49" t="inlineStr">
        <is>
          <t>Tier</t>
        </is>
      </c>
      <c r="F1" s="49" t="inlineStr">
        <is>
          <t>Ocean</t>
        </is>
      </c>
      <c r="G1" s="49" t="inlineStr">
        <is>
          <t>River</t>
        </is>
      </c>
      <c r="H1" s="49" t="inlineStr">
        <is>
          <t>Expedition</t>
        </is>
      </c>
      <c r="I1" s="49" t="inlineStr">
        <is>
          <t>Yacht</t>
        </is>
      </c>
      <c r="J1" s="49" t="inlineStr">
        <is>
          <t>Logo</t>
        </is>
      </c>
      <c r="K1" s="49" t="inlineStr">
        <is>
          <t>Hero</t>
        </is>
      </c>
      <c r="L1" s="49" t="inlineStr">
        <is>
          <t>Slider Imgs</t>
        </is>
      </c>
      <c r="M1" s="49" t="inlineStr">
        <is>
          <t>Highlights</t>
        </is>
      </c>
      <c r="N1" s="49" t="inlineStr">
        <is>
          <t>Ships</t>
        </is>
      </c>
      <c r="O1" s="49" t="inlineStr">
        <is>
          <t>Desc Length</t>
        </is>
      </c>
      <c r="P1" s="49" t="inlineStr">
        <is>
          <t>URL Pattern</t>
        </is>
      </c>
      <c r="Q1" s="49" t="inlineStr">
        <is>
          <t>Page Live</t>
        </is>
      </c>
      <c r="R1" s="49" t="inlineStr">
        <is>
          <t>Data Complete</t>
        </is>
      </c>
      <c r="S1" s="49" t="inlineStr">
        <is>
          <t>Design Status</t>
        </is>
      </c>
      <c r="T1" s="49" t="inlineStr">
        <is>
          <t>Dev Status</t>
        </is>
      </c>
      <c r="U1" s="49" t="inlineStr">
        <is>
          <t>Live</t>
        </is>
      </c>
      <c r="V1" s="49" t="inlineStr">
        <is>
          <t>Last Updated</t>
        </is>
      </c>
      <c r="W1" s="49" t="inlineStr">
        <is>
          <t>Notes</t>
        </is>
      </c>
    </row>
    <row r="2" ht="27.75" customHeight="1" s="44">
      <c r="A2" s="53" t="n">
        <v>1</v>
      </c>
      <c r="B2" s="62" t="inlineStr">
        <is>
          <t>regent-seven-seas</t>
        </is>
      </c>
      <c r="C2" s="61" t="inlineStr">
        <is>
          <t>Regent Seven Seas Cruises</t>
        </is>
      </c>
      <c r="D2" s="62" t="inlineStr">
        <is>
          <t>The World's Most Luxurious Fleet</t>
        </is>
      </c>
      <c r="E2" s="68" t="inlineStr">
        <is>
          <t>Luxury</t>
        </is>
      </c>
      <c r="F2" s="69" t="inlineStr">
        <is>
          <t>✓</t>
        </is>
      </c>
      <c r="G2" s="70" t="n"/>
      <c r="H2" s="70" t="n"/>
      <c r="I2" s="70" t="n"/>
      <c r="J2" s="53" t="inlineStr">
        <is>
          <t>✓</t>
        </is>
      </c>
      <c r="K2" s="53" t="inlineStr">
        <is>
          <t>✓</t>
        </is>
      </c>
      <c r="L2" s="53" t="n">
        <v>6</v>
      </c>
      <c r="M2" s="53" t="n">
        <v>6</v>
      </c>
      <c r="N2" s="53" t="n">
        <v>6</v>
      </c>
      <c r="O2" s="53" t="n">
        <v>235</v>
      </c>
      <c r="P2" s="71" t="inlineStr">
        <is>
          <t>/t4/[agentId]/find-cruise/regent-seven-seas</t>
        </is>
      </c>
      <c r="Q2" s="53" t="inlineStr">
        <is>
          <t>Yes</t>
        </is>
      </c>
      <c r="R2" s="66">
        <f>IF(AND(F2="✓",G2="✓",H2&gt;=3,I2&gt;=4,J2&gt;=1,K2&gt;=150),"Complete","In Progress")</f>
        <v/>
      </c>
      <c r="S2" s="66" t="inlineStr">
        <is>
          <t>Complete</t>
        </is>
      </c>
      <c r="T2" s="66" t="inlineStr">
        <is>
          <t>Complete</t>
        </is>
      </c>
      <c r="U2" s="53" t="inlineStr">
        <is>
          <t>Yes</t>
        </is>
      </c>
      <c r="V2" s="66" t="inlineStr">
        <is>
          <t>2026-04-28</t>
        </is>
      </c>
      <c r="W2" s="62" t="n"/>
    </row>
    <row r="3" ht="36" customHeight="1" s="44">
      <c r="A3" s="51" t="n">
        <v>2</v>
      </c>
      <c r="B3" s="60" t="inlineStr">
        <is>
          <t>silversea</t>
        </is>
      </c>
      <c r="C3" s="59" t="inlineStr">
        <is>
          <t>Silversea Cruises</t>
        </is>
      </c>
      <c r="D3" s="60" t="inlineStr">
        <is>
          <t>Ultra-luxury. All-inclusive. Expedition.</t>
        </is>
      </c>
      <c r="E3" s="72" t="inlineStr">
        <is>
          <t>Luxury</t>
        </is>
      </c>
      <c r="F3" s="73" t="inlineStr">
        <is>
          <t>✓</t>
        </is>
      </c>
      <c r="G3" s="74" t="n"/>
      <c r="H3" s="73" t="inlineStr">
        <is>
          <t>✓</t>
        </is>
      </c>
      <c r="I3" s="74" t="n"/>
      <c r="J3" s="51" t="inlineStr">
        <is>
          <t>✓</t>
        </is>
      </c>
      <c r="K3" s="51" t="inlineStr">
        <is>
          <t>✓</t>
        </is>
      </c>
      <c r="L3" s="51" t="n">
        <v>5</v>
      </c>
      <c r="M3" s="51" t="n">
        <v>6</v>
      </c>
      <c r="N3" s="51" t="n">
        <v>6</v>
      </c>
      <c r="O3" s="51" t="n">
        <v>240</v>
      </c>
      <c r="P3" s="75" t="inlineStr">
        <is>
          <t>/t4/[agentId]/find-cruise/silversea</t>
        </is>
      </c>
      <c r="Q3" s="51" t="inlineStr">
        <is>
          <t>Yes</t>
        </is>
      </c>
      <c r="R3" s="64">
        <f>IF(AND(F3="✓",G3="✓",H3&gt;=3,I3&gt;=4,J3&gt;=1,K3&gt;=150),"Complete","In Progress")</f>
        <v/>
      </c>
      <c r="S3" s="64" t="inlineStr">
        <is>
          <t>Complete</t>
        </is>
      </c>
      <c r="T3" s="64" t="inlineStr">
        <is>
          <t>Complete</t>
        </is>
      </c>
      <c r="U3" s="51" t="inlineStr">
        <is>
          <t>Yes</t>
        </is>
      </c>
      <c r="V3" s="64" t="inlineStr">
        <is>
          <t>2026-04-28</t>
        </is>
      </c>
      <c r="W3" s="60" t="inlineStr">
        <is>
          <t>Silver Endeavour/Origin/Cloud/Wind = expedition fleet</t>
        </is>
      </c>
    </row>
    <row r="4" ht="36" customHeight="1" s="44">
      <c r="A4" s="53" t="n">
        <v>3</v>
      </c>
      <c r="B4" s="62" t="inlineStr">
        <is>
          <t>seabourn</t>
        </is>
      </c>
      <c r="C4" s="61" t="inlineStr">
        <is>
          <t>Seabourn Cruises</t>
        </is>
      </c>
      <c r="D4" s="62" t="inlineStr">
        <is>
          <t>Finest ultra-luxury ocean and expedition cruising.</t>
        </is>
      </c>
      <c r="E4" s="68" t="inlineStr">
        <is>
          <t>Luxury</t>
        </is>
      </c>
      <c r="F4" s="69" t="inlineStr">
        <is>
          <t>✓</t>
        </is>
      </c>
      <c r="G4" s="70" t="n"/>
      <c r="H4" s="69" t="inlineStr">
        <is>
          <t>✓</t>
        </is>
      </c>
      <c r="I4" s="70" t="n"/>
      <c r="J4" s="53" t="inlineStr">
        <is>
          <t>✓</t>
        </is>
      </c>
      <c r="K4" s="53" t="inlineStr">
        <is>
          <t>✓</t>
        </is>
      </c>
      <c r="L4" s="53" t="n">
        <v>4</v>
      </c>
      <c r="M4" s="53" t="n">
        <v>6</v>
      </c>
      <c r="N4" s="53" t="n">
        <v>5</v>
      </c>
      <c r="O4" s="53" t="n">
        <v>197</v>
      </c>
      <c r="P4" s="71" t="inlineStr">
        <is>
          <t>/t4/[agentId]/find-cruise/seabourn</t>
        </is>
      </c>
      <c r="Q4" s="53" t="inlineStr">
        <is>
          <t>Yes</t>
        </is>
      </c>
      <c r="R4" s="66">
        <f>IF(AND(F4="✓",G4="✓",H4&gt;=3,I4&gt;=4,J4&gt;=1,K4&gt;=150),"Complete","In Progress")</f>
        <v/>
      </c>
      <c r="S4" s="66" t="inlineStr">
        <is>
          <t>Complete</t>
        </is>
      </c>
      <c r="T4" s="66" t="inlineStr">
        <is>
          <t>Complete</t>
        </is>
      </c>
      <c r="U4" s="53" t="inlineStr">
        <is>
          <t>Yes</t>
        </is>
      </c>
      <c r="V4" s="76" t="inlineStr">
        <is>
          <t>2026-05-12</t>
        </is>
      </c>
      <c r="W4" s="62" t="inlineStr">
        <is>
          <t>Pursuit + Venture = expedition fleet (added 2022/2023)</t>
        </is>
      </c>
    </row>
    <row r="5" ht="36" customHeight="1" s="44">
      <c r="A5" s="51" t="n">
        <v>4</v>
      </c>
      <c r="B5" s="60" t="inlineStr">
        <is>
          <t>oceania</t>
        </is>
      </c>
      <c r="C5" s="59" t="inlineStr">
        <is>
          <t>Oceania Cruises</t>
        </is>
      </c>
      <c r="D5" s="60" t="inlineStr">
        <is>
          <t>Your world. Your way.</t>
        </is>
      </c>
      <c r="E5" s="77" t="inlineStr">
        <is>
          <t>Premium-Plus</t>
        </is>
      </c>
      <c r="F5" s="73" t="inlineStr">
        <is>
          <t>✓</t>
        </is>
      </c>
      <c r="G5" s="74" t="n"/>
      <c r="H5" s="74" t="n"/>
      <c r="I5" s="74" t="n"/>
      <c r="J5" s="51" t="inlineStr">
        <is>
          <t>✓</t>
        </is>
      </c>
      <c r="K5" s="51" t="inlineStr">
        <is>
          <t>✓</t>
        </is>
      </c>
      <c r="L5" s="51" t="n">
        <v>4</v>
      </c>
      <c r="M5" s="51" t="n">
        <v>6</v>
      </c>
      <c r="N5" s="51" t="n">
        <v>5</v>
      </c>
      <c r="O5" s="51" t="n">
        <v>218</v>
      </c>
      <c r="P5" s="75" t="inlineStr">
        <is>
          <t>/t4/[agentId]/find-cruise/oceania</t>
        </is>
      </c>
      <c r="Q5" s="51" t="inlineStr">
        <is>
          <t>Yes</t>
        </is>
      </c>
      <c r="R5" s="64">
        <f>IF(AND(F5="✓",G5="✓",H5&gt;=3,I5&gt;=4,J5&gt;=1,K5&gt;=150),"Complete","In Progress")</f>
        <v/>
      </c>
      <c r="S5" s="64" t="inlineStr">
        <is>
          <t>Complete</t>
        </is>
      </c>
      <c r="T5" s="64" t="inlineStr">
        <is>
          <t>Complete</t>
        </is>
      </c>
      <c r="U5" s="51" t="inlineStr">
        <is>
          <t>Yes</t>
        </is>
      </c>
      <c r="V5" s="64" t="inlineStr">
        <is>
          <t>2026-04-28</t>
        </is>
      </c>
      <c r="W5" s="60" t="inlineStr">
        <is>
          <t>Vista/Allura/Marina/Riviera/Sirena</t>
        </is>
      </c>
    </row>
    <row r="6" ht="36" customHeight="1" s="44">
      <c r="A6" s="53" t="n">
        <v>5</v>
      </c>
      <c r="B6" s="62" t="inlineStr">
        <is>
          <t>azamara</t>
        </is>
      </c>
      <c r="C6" s="61" t="inlineStr">
        <is>
          <t>Azamara</t>
        </is>
      </c>
      <c r="D6" s="62" t="inlineStr">
        <is>
          <t>Destination immersion. Enriched voyages.</t>
        </is>
      </c>
      <c r="E6" s="78" t="inlineStr">
        <is>
          <t>Premium</t>
        </is>
      </c>
      <c r="F6" s="69" t="inlineStr">
        <is>
          <t>✓</t>
        </is>
      </c>
      <c r="G6" s="70" t="n"/>
      <c r="H6" s="70" t="n"/>
      <c r="I6" s="70" t="n"/>
      <c r="J6" s="53" t="inlineStr">
        <is>
          <t>✓</t>
        </is>
      </c>
      <c r="K6" s="53" t="inlineStr">
        <is>
          <t>✓</t>
        </is>
      </c>
      <c r="L6" s="53" t="n">
        <v>4</v>
      </c>
      <c r="M6" s="53" t="n">
        <v>6</v>
      </c>
      <c r="N6" s="53" t="n">
        <v>4</v>
      </c>
      <c r="O6" s="53" t="n">
        <v>223</v>
      </c>
      <c r="P6" s="71" t="inlineStr">
        <is>
          <t>/t4/[agentId]/find-cruise/azamara</t>
        </is>
      </c>
      <c r="Q6" s="53" t="inlineStr">
        <is>
          <t>Yes</t>
        </is>
      </c>
      <c r="R6" s="66">
        <f>IF(AND(F6="✓",G6="✓",H6&gt;=3,I6&gt;=4,J6&gt;=1,K6&gt;=150),"Complete","In Progress")</f>
        <v/>
      </c>
      <c r="S6" s="66" t="inlineStr">
        <is>
          <t>Complete</t>
        </is>
      </c>
      <c r="T6" s="66" t="inlineStr">
        <is>
          <t>Complete</t>
        </is>
      </c>
      <c r="U6" s="53" t="inlineStr">
        <is>
          <t>Yes</t>
        </is>
      </c>
      <c r="V6" s="66" t="inlineStr">
        <is>
          <t>2026-04-28</t>
        </is>
      </c>
      <c r="W6" s="62" t="inlineStr">
        <is>
          <t>Destination-immersion ocean</t>
        </is>
      </c>
    </row>
    <row r="7" ht="36" customHeight="1" s="44">
      <c r="A7" s="51" t="n">
        <v>6</v>
      </c>
      <c r="B7" s="60" t="inlineStr">
        <is>
          <t>celebrity</t>
        </is>
      </c>
      <c r="C7" s="59" t="inlineStr">
        <is>
          <t>Celebrity Cruises</t>
        </is>
      </c>
      <c r="D7" s="60" t="inlineStr">
        <is>
          <t>Modern luxury. Bold design. Revolutionary at sea.</t>
        </is>
      </c>
      <c r="E7" s="79" t="inlineStr">
        <is>
          <t>Premium</t>
        </is>
      </c>
      <c r="F7" s="73" t="inlineStr">
        <is>
          <t>✓</t>
        </is>
      </c>
      <c r="G7" s="74" t="n"/>
      <c r="H7" s="74" t="n"/>
      <c r="I7" s="74" t="n"/>
      <c r="J7" s="51" t="inlineStr">
        <is>
          <t>✓</t>
        </is>
      </c>
      <c r="K7" s="51" t="inlineStr">
        <is>
          <t>✓</t>
        </is>
      </c>
      <c r="L7" s="51" t="n">
        <v>6</v>
      </c>
      <c r="M7" s="51" t="n">
        <v>6</v>
      </c>
      <c r="N7" s="51" t="n">
        <v>6</v>
      </c>
      <c r="O7" s="51" t="n">
        <v>217</v>
      </c>
      <c r="P7" s="75" t="inlineStr">
        <is>
          <t>/t4/[agentId]/find-cruise/celebrity</t>
        </is>
      </c>
      <c r="Q7" s="51" t="inlineStr">
        <is>
          <t>Yes</t>
        </is>
      </c>
      <c r="R7" s="64">
        <f>IF(AND(F7="✓",G7="✓",H7&gt;=3,I7&gt;=4,J7&gt;=1,K7&gt;=150),"Complete","In Progress")</f>
        <v/>
      </c>
      <c r="S7" s="64" t="inlineStr">
        <is>
          <t>Complete</t>
        </is>
      </c>
      <c r="T7" s="64" t="inlineStr">
        <is>
          <t>Complete</t>
        </is>
      </c>
      <c r="U7" s="51" t="inlineStr">
        <is>
          <t>Yes</t>
        </is>
      </c>
      <c r="V7" s="64" t="inlineStr">
        <is>
          <t>2026-04-28</t>
        </is>
      </c>
      <c r="W7" s="60" t="inlineStr">
        <is>
          <t>Edge/Solstice/Millennium classes</t>
        </is>
      </c>
    </row>
    <row r="8" ht="36" customHeight="1" s="44">
      <c r="A8" s="53" t="n">
        <v>7</v>
      </c>
      <c r="B8" s="62" t="inlineStr">
        <is>
          <t>cunard</t>
        </is>
      </c>
      <c r="C8" s="61" t="inlineStr">
        <is>
          <t>Cunard</t>
        </is>
      </c>
      <c r="D8" s="62" t="inlineStr">
        <is>
          <t>The most famous ocean liners in the world.</t>
        </is>
      </c>
      <c r="E8" s="80" t="inlineStr">
        <is>
          <t>Premium-Plus</t>
        </is>
      </c>
      <c r="F8" s="69" t="inlineStr">
        <is>
          <t>✓</t>
        </is>
      </c>
      <c r="G8" s="70" t="n"/>
      <c r="H8" s="70" t="n"/>
      <c r="I8" s="70" t="n"/>
      <c r="J8" s="53" t="inlineStr">
        <is>
          <t>✓</t>
        </is>
      </c>
      <c r="K8" s="53" t="inlineStr">
        <is>
          <t>✓</t>
        </is>
      </c>
      <c r="L8" s="53" t="n">
        <v>4</v>
      </c>
      <c r="M8" s="53" t="n">
        <v>6</v>
      </c>
      <c r="N8" s="53" t="n">
        <v>4</v>
      </c>
      <c r="O8" s="53" t="n">
        <v>220</v>
      </c>
      <c r="P8" s="71" t="inlineStr">
        <is>
          <t>/t4/[agentId]/find-cruise/cunard</t>
        </is>
      </c>
      <c r="Q8" s="53" t="inlineStr">
        <is>
          <t>Yes</t>
        </is>
      </c>
      <c r="R8" s="66">
        <f>IF(AND(F8="✓",G8="✓",H8&gt;=3,I8&gt;=4,J8&gt;=1,K8&gt;=150),"Complete","In Progress")</f>
        <v/>
      </c>
      <c r="S8" s="66" t="inlineStr">
        <is>
          <t>Complete</t>
        </is>
      </c>
      <c r="T8" s="66" t="inlineStr">
        <is>
          <t>Complete</t>
        </is>
      </c>
      <c r="U8" s="53" t="inlineStr">
        <is>
          <t>Yes</t>
        </is>
      </c>
      <c r="V8" s="66" t="inlineStr">
        <is>
          <t>2026-04-28</t>
        </is>
      </c>
      <c r="W8" s="62" t="inlineStr">
        <is>
          <t>Queen Mary 2 / Anne / Elizabeth / Victoria</t>
        </is>
      </c>
    </row>
    <row r="9" ht="36" customHeight="1" s="44">
      <c r="A9" s="51" t="n">
        <v>8</v>
      </c>
      <c r="B9" s="60" t="inlineStr">
        <is>
          <t>holland-america</t>
        </is>
      </c>
      <c r="C9" s="59" t="inlineStr">
        <is>
          <t>Holland America Line</t>
        </is>
      </c>
      <c r="D9" s="60" t="inlineStr">
        <is>
          <t>150 years of seafaring tradition.</t>
        </is>
      </c>
      <c r="E9" s="79" t="inlineStr">
        <is>
          <t>Premium</t>
        </is>
      </c>
      <c r="F9" s="73" t="inlineStr">
        <is>
          <t>✓</t>
        </is>
      </c>
      <c r="G9" s="74" t="n"/>
      <c r="H9" s="74" t="n"/>
      <c r="I9" s="74" t="n"/>
      <c r="J9" s="51" t="inlineStr">
        <is>
          <t>✓</t>
        </is>
      </c>
      <c r="K9" s="51" t="inlineStr">
        <is>
          <t>✓</t>
        </is>
      </c>
      <c r="L9" s="51" t="n">
        <v>3</v>
      </c>
      <c r="M9" s="51" t="n">
        <v>6</v>
      </c>
      <c r="N9" s="51" t="n">
        <v>4</v>
      </c>
      <c r="O9" s="51" t="n">
        <v>216</v>
      </c>
      <c r="P9" s="75" t="inlineStr">
        <is>
          <t>/t4/[agentId]/find-cruise/holland-america</t>
        </is>
      </c>
      <c r="Q9" s="51" t="inlineStr">
        <is>
          <t>Yes</t>
        </is>
      </c>
      <c r="R9" s="64">
        <f>IF(AND(F9="✓",G9="✓",H9&gt;=3,I9&gt;=4,J9&gt;=1,K9&gt;=150),"Complete","In Progress")</f>
        <v/>
      </c>
      <c r="S9" s="64" t="inlineStr">
        <is>
          <t>Complete</t>
        </is>
      </c>
      <c r="T9" s="64" t="inlineStr">
        <is>
          <t>Complete</t>
        </is>
      </c>
      <c r="U9" s="51" t="inlineStr">
        <is>
          <t>Yes</t>
        </is>
      </c>
      <c r="V9" s="64" t="inlineStr">
        <is>
          <t>2026-04-28</t>
        </is>
      </c>
      <c r="W9" s="60" t="inlineStr">
        <is>
          <t>Pinnacle class</t>
        </is>
      </c>
    </row>
    <row r="10" ht="36" customHeight="1" s="44">
      <c r="A10" s="53" t="n">
        <v>9</v>
      </c>
      <c r="B10" s="62" t="inlineStr">
        <is>
          <t>norwegian</t>
        </is>
      </c>
      <c r="C10" s="61" t="inlineStr">
        <is>
          <t>Norwegian Cruise Line</t>
        </is>
      </c>
      <c r="D10" s="62" t="inlineStr">
        <is>
          <t>Freestyle Cruising. No schedules. Just freedom.</t>
        </is>
      </c>
      <c r="E10" s="81" t="inlineStr">
        <is>
          <t>Contemporary</t>
        </is>
      </c>
      <c r="F10" s="69" t="inlineStr">
        <is>
          <t>✓</t>
        </is>
      </c>
      <c r="G10" s="70" t="n"/>
      <c r="H10" s="70" t="n"/>
      <c r="I10" s="70" t="n"/>
      <c r="J10" s="53" t="inlineStr">
        <is>
          <t>✓</t>
        </is>
      </c>
      <c r="K10" s="53" t="inlineStr">
        <is>
          <t>✓</t>
        </is>
      </c>
      <c r="L10" s="53" t="n">
        <v>9</v>
      </c>
      <c r="M10" s="53" t="n">
        <v>6</v>
      </c>
      <c r="N10" s="53" t="n">
        <v>4</v>
      </c>
      <c r="O10" s="53" t="n">
        <v>218</v>
      </c>
      <c r="P10" s="71" t="inlineStr">
        <is>
          <t>/t4/[agentId]/find-cruise/norwegian</t>
        </is>
      </c>
      <c r="Q10" s="53" t="inlineStr">
        <is>
          <t>Yes</t>
        </is>
      </c>
      <c r="R10" s="66">
        <f>IF(AND(F10="✓",G10="✓",H10&gt;=3,I10&gt;=4,J10&gt;=1,K10&gt;=150),"Complete","In Progress")</f>
        <v/>
      </c>
      <c r="S10" s="66" t="inlineStr">
        <is>
          <t>Complete</t>
        </is>
      </c>
      <c r="T10" s="66" t="inlineStr">
        <is>
          <t>Complete</t>
        </is>
      </c>
      <c r="U10" s="53" t="inlineStr">
        <is>
          <t>Yes</t>
        </is>
      </c>
      <c r="V10" s="66" t="inlineStr">
        <is>
          <t>2026-04-28</t>
        </is>
      </c>
      <c r="W10" s="62" t="inlineStr">
        <is>
          <t>Prima/Breakaway/Jewel classes</t>
        </is>
      </c>
    </row>
    <row r="11" ht="36" customHeight="1" s="44">
      <c r="A11" s="51" t="n">
        <v>10</v>
      </c>
      <c r="B11" s="60" t="inlineStr">
        <is>
          <t>royal-caribbean</t>
        </is>
      </c>
      <c r="C11" s="59" t="inlineStr">
        <is>
          <t>Royal Caribbean</t>
        </is>
      </c>
      <c r="D11" s="60" t="inlineStr">
        <is>
          <t>Adventure at sea. Reimagined.</t>
        </is>
      </c>
      <c r="E11" s="82" t="inlineStr">
        <is>
          <t>Contemporary</t>
        </is>
      </c>
      <c r="F11" s="73" t="inlineStr">
        <is>
          <t>✓</t>
        </is>
      </c>
      <c r="G11" s="74" t="n"/>
      <c r="H11" s="74" t="n"/>
      <c r="I11" s="74" t="n"/>
      <c r="J11" s="51" t="inlineStr">
        <is>
          <t>✓</t>
        </is>
      </c>
      <c r="K11" s="51" t="inlineStr">
        <is>
          <t>✓</t>
        </is>
      </c>
      <c r="L11" s="51" t="n">
        <v>9</v>
      </c>
      <c r="M11" s="51" t="n">
        <v>6</v>
      </c>
      <c r="N11" s="51" t="n">
        <v>5</v>
      </c>
      <c r="O11" s="51" t="n">
        <v>225</v>
      </c>
      <c r="P11" s="75" t="inlineStr">
        <is>
          <t>/t4/[agentId]/find-cruise/royal-caribbean</t>
        </is>
      </c>
      <c r="Q11" s="51" t="inlineStr">
        <is>
          <t>Yes</t>
        </is>
      </c>
      <c r="R11" s="64">
        <f>IF(AND(F11="✓",G11="✓",H11&gt;=3,I11&gt;=4,J11&gt;=1,K11&gt;=150),"Complete","In Progress")</f>
        <v/>
      </c>
      <c r="S11" s="64" t="inlineStr">
        <is>
          <t>Complete</t>
        </is>
      </c>
      <c r="T11" s="64" t="inlineStr">
        <is>
          <t>Complete</t>
        </is>
      </c>
      <c r="U11" s="51" t="inlineStr">
        <is>
          <t>Yes</t>
        </is>
      </c>
      <c r="V11" s="64" t="inlineStr">
        <is>
          <t>2026-04-28</t>
        </is>
      </c>
      <c r="W11" s="60" t="inlineStr">
        <is>
          <t>Icon/Oasis/Quantum classes</t>
        </is>
      </c>
    </row>
    <row r="12" ht="36" customHeight="1" s="44">
      <c r="A12" s="53" t="n">
        <v>11</v>
      </c>
      <c r="B12" s="62" t="inlineStr">
        <is>
          <t>princess</t>
        </is>
      </c>
      <c r="C12" s="61" t="inlineStr">
        <is>
          <t>Princess Cruises</t>
        </is>
      </c>
      <c r="D12" s="62" t="inlineStr">
        <is>
          <t>Come Back New.</t>
        </is>
      </c>
      <c r="E12" s="78" t="inlineStr">
        <is>
          <t>Premium</t>
        </is>
      </c>
      <c r="F12" s="69" t="inlineStr">
        <is>
          <t>✓</t>
        </is>
      </c>
      <c r="G12" s="70" t="n"/>
      <c r="H12" s="70" t="n"/>
      <c r="I12" s="70" t="n"/>
      <c r="J12" s="53" t="inlineStr">
        <is>
          <t>✓</t>
        </is>
      </c>
      <c r="K12" s="53" t="inlineStr">
        <is>
          <t>✓</t>
        </is>
      </c>
      <c r="L12" s="53" t="n">
        <v>3</v>
      </c>
      <c r="M12" s="53" t="n">
        <v>6</v>
      </c>
      <c r="N12" s="53" t="n">
        <v>4</v>
      </c>
      <c r="O12" s="53" t="n">
        <v>250</v>
      </c>
      <c r="P12" s="71" t="inlineStr">
        <is>
          <t>/t4/[agentId]/find-cruise/princess</t>
        </is>
      </c>
      <c r="Q12" s="53" t="inlineStr">
        <is>
          <t>Yes</t>
        </is>
      </c>
      <c r="R12" s="66">
        <f>IF(AND(F12="✓",G12="✓",H12&gt;=3,I12&gt;=4,J12&gt;=1,K12&gt;=150),"Complete","In Progress")</f>
        <v/>
      </c>
      <c r="S12" s="66" t="inlineStr">
        <is>
          <t>Complete</t>
        </is>
      </c>
      <c r="T12" s="66" t="inlineStr">
        <is>
          <t>Complete</t>
        </is>
      </c>
      <c r="U12" s="53" t="inlineStr">
        <is>
          <t>Yes</t>
        </is>
      </c>
      <c r="V12" s="66" t="inlineStr">
        <is>
          <t>2026-04-28</t>
        </is>
      </c>
      <c r="W12" s="62" t="inlineStr">
        <is>
          <t>Sphere/Royal class</t>
        </is>
      </c>
    </row>
    <row r="13" ht="36" customHeight="1" s="44">
      <c r="A13" s="51" t="n">
        <v>12</v>
      </c>
      <c r="B13" s="60" t="inlineStr">
        <is>
          <t>ponant</t>
        </is>
      </c>
      <c r="C13" s="59" t="inlineStr">
        <is>
          <t>Ponant</t>
        </is>
      </c>
      <c r="D13" s="60" t="inlineStr">
        <is>
          <t>The French way of luxury expedition.</t>
        </is>
      </c>
      <c r="E13" s="72" t="inlineStr">
        <is>
          <t>Luxury</t>
        </is>
      </c>
      <c r="F13" s="74" t="n"/>
      <c r="G13" s="74" t="n"/>
      <c r="H13" s="73" t="inlineStr">
        <is>
          <t>✓</t>
        </is>
      </c>
      <c r="I13" s="73" t="inlineStr">
        <is>
          <t>✓</t>
        </is>
      </c>
      <c r="J13" s="51" t="inlineStr">
        <is>
          <t>✓</t>
        </is>
      </c>
      <c r="K13" s="51" t="inlineStr">
        <is>
          <t>✓</t>
        </is>
      </c>
      <c r="L13" s="51" t="n">
        <v>3</v>
      </c>
      <c r="M13" s="51" t="n">
        <v>6</v>
      </c>
      <c r="N13" s="51" t="n">
        <v>4</v>
      </c>
      <c r="O13" s="51" t="n">
        <v>227</v>
      </c>
      <c r="P13" s="75" t="inlineStr">
        <is>
          <t>/t4/[agentId]/find-cruise/ponant</t>
        </is>
      </c>
      <c r="Q13" s="51" t="inlineStr">
        <is>
          <t>Yes</t>
        </is>
      </c>
      <c r="R13" s="64">
        <f>IF(AND(F13="✓",G13="✓",H13&gt;=3,I13&gt;=4,J13&gt;=1,K13&gt;=150),"Complete","In Progress")</f>
        <v/>
      </c>
      <c r="S13" s="64" t="inlineStr">
        <is>
          <t>Complete</t>
        </is>
      </c>
      <c r="T13" s="64" t="inlineStr">
        <is>
          <t>Complete</t>
        </is>
      </c>
      <c r="U13" s="51" t="inlineStr">
        <is>
          <t>Yes</t>
        </is>
      </c>
      <c r="V13" s="83" t="inlineStr">
        <is>
          <t>2026-05-12</t>
        </is>
      </c>
      <c r="W13" s="60" t="inlineStr">
        <is>
          <t>Le Commandant Charcot (icebreaker) + Le Ponant (sailing yacht); RECLASSIFIED from ocean</t>
        </is>
      </c>
    </row>
    <row r="14" ht="36" customHeight="1" s="44">
      <c r="A14" s="53" t="n">
        <v>13</v>
      </c>
      <c r="B14" s="62" t="inlineStr">
        <is>
          <t>lindblad</t>
        </is>
      </c>
      <c r="C14" s="61" t="inlineStr">
        <is>
          <t>Lindblad Expeditions</t>
        </is>
      </c>
      <c r="D14" s="62" t="inlineStr">
        <is>
          <t>National Geographic. Expeditions at the edge of the world.</t>
        </is>
      </c>
      <c r="E14" s="78" t="inlineStr">
        <is>
          <t>Premium</t>
        </is>
      </c>
      <c r="F14" s="70" t="n"/>
      <c r="G14" s="70" t="n"/>
      <c r="H14" s="69" t="inlineStr">
        <is>
          <t>✓</t>
        </is>
      </c>
      <c r="I14" s="70" t="n"/>
      <c r="J14" s="53" t="inlineStr">
        <is>
          <t>✓</t>
        </is>
      </c>
      <c r="K14" s="53" t="inlineStr">
        <is>
          <t>✓</t>
        </is>
      </c>
      <c r="L14" s="53" t="n">
        <v>4</v>
      </c>
      <c r="M14" s="53" t="n">
        <v>6</v>
      </c>
      <c r="N14" s="53" t="n">
        <v>4</v>
      </c>
      <c r="O14" s="53" t="n">
        <v>238</v>
      </c>
      <c r="P14" s="71" t="inlineStr">
        <is>
          <t>/t4/[agentId]/find-cruise/lindblad</t>
        </is>
      </c>
      <c r="Q14" s="53" t="inlineStr">
        <is>
          <t>Yes</t>
        </is>
      </c>
      <c r="R14" s="66">
        <f>IF(AND(F14="✓",G14="✓",H14&gt;=3,I14&gt;=4,J14&gt;=1,K14&gt;=150),"Complete","In Progress")</f>
        <v/>
      </c>
      <c r="S14" s="66" t="inlineStr">
        <is>
          <t>Complete</t>
        </is>
      </c>
      <c r="T14" s="66" t="inlineStr">
        <is>
          <t>Complete</t>
        </is>
      </c>
      <c r="U14" s="53" t="inlineStr">
        <is>
          <t>Yes</t>
        </is>
      </c>
      <c r="V14" s="76" t="inlineStr">
        <is>
          <t>2026-05-12</t>
        </is>
      </c>
      <c r="W14" s="62" t="inlineStr">
        <is>
          <t>National Geographic — pure expedition; RECLASSIFIED from ocean</t>
        </is>
      </c>
    </row>
    <row r="15" ht="36" customHeight="1" s="44">
      <c r="A15" s="51" t="n">
        <v>14</v>
      </c>
      <c r="B15" s="60" t="inlineStr">
        <is>
          <t>uncruise</t>
        </is>
      </c>
      <c r="C15" s="59" t="inlineStr">
        <is>
          <t>UnCruise Adventures</t>
        </is>
      </c>
      <c r="D15" s="60" t="inlineStr">
        <is>
          <t>Small ships. Big adventures. Wild destinations.</t>
        </is>
      </c>
      <c r="E15" s="84" t="inlineStr">
        <is>
          <t>Adventure</t>
        </is>
      </c>
      <c r="F15" s="74" t="n"/>
      <c r="G15" s="74" t="n"/>
      <c r="H15" s="73" t="inlineStr">
        <is>
          <t>✓</t>
        </is>
      </c>
      <c r="I15" s="74" t="n"/>
      <c r="J15" s="51" t="inlineStr">
        <is>
          <t>✓</t>
        </is>
      </c>
      <c r="K15" s="51" t="inlineStr">
        <is>
          <t>✓</t>
        </is>
      </c>
      <c r="L15" s="51" t="n">
        <v>3</v>
      </c>
      <c r="M15" s="51" t="n">
        <v>6</v>
      </c>
      <c r="N15" s="51" t="n">
        <v>4</v>
      </c>
      <c r="O15" s="51" t="n">
        <v>225</v>
      </c>
      <c r="P15" s="75" t="inlineStr">
        <is>
          <t>/t4/[agentId]/find-cruise/uncruise</t>
        </is>
      </c>
      <c r="Q15" s="51" t="inlineStr">
        <is>
          <t>Yes</t>
        </is>
      </c>
      <c r="R15" s="64">
        <f>IF(AND(F15="✓",G15="✓",H15&gt;=3,I15&gt;=4,J15&gt;=1,K15&gt;=150),"Complete","In Progress")</f>
        <v/>
      </c>
      <c r="S15" s="64" t="inlineStr">
        <is>
          <t>Complete</t>
        </is>
      </c>
      <c r="T15" s="64" t="inlineStr">
        <is>
          <t>Complete</t>
        </is>
      </c>
      <c r="U15" s="51" t="inlineStr">
        <is>
          <t>Yes</t>
        </is>
      </c>
      <c r="V15" s="83" t="inlineStr">
        <is>
          <t>2026-05-12</t>
        </is>
      </c>
      <c r="W15" s="60" t="inlineStr">
        <is>
          <t>Small-ship Alaska/Galápagos/Mexico expedition; RECLASSIFIED from ocean</t>
        </is>
      </c>
    </row>
    <row r="16" ht="36" customHeight="1" s="44">
      <c r="A16" s="53" t="n">
        <v>15</v>
      </c>
      <c r="B16" s="62" t="inlineStr">
        <is>
          <t>paul-gauguin</t>
        </is>
      </c>
      <c r="C16" s="61" t="inlineStr">
        <is>
          <t>Paul Gauguin Cruises</t>
        </is>
      </c>
      <c r="D16" s="62" t="inlineStr">
        <is>
          <t>French Polynesia's finest voyage.</t>
        </is>
      </c>
      <c r="E16" s="68" t="inlineStr">
        <is>
          <t>Luxury</t>
        </is>
      </c>
      <c r="F16" s="69" t="inlineStr">
        <is>
          <t>✓</t>
        </is>
      </c>
      <c r="G16" s="70" t="n"/>
      <c r="H16" s="70" t="n"/>
      <c r="I16" s="69" t="inlineStr">
        <is>
          <t>✓</t>
        </is>
      </c>
      <c r="J16" s="53" t="inlineStr">
        <is>
          <t>✓</t>
        </is>
      </c>
      <c r="K16" s="53" t="inlineStr">
        <is>
          <t>✓</t>
        </is>
      </c>
      <c r="L16" s="53" t="n">
        <v>4</v>
      </c>
      <c r="M16" s="53" t="n">
        <v>6</v>
      </c>
      <c r="N16" s="53" t="n">
        <v>1</v>
      </c>
      <c r="O16" s="53" t="n">
        <v>229</v>
      </c>
      <c r="P16" s="71" t="inlineStr">
        <is>
          <t>/t4/[agentId]/find-cruise/paul-gauguin</t>
        </is>
      </c>
      <c r="Q16" s="53" t="inlineStr">
        <is>
          <t>Yes</t>
        </is>
      </c>
      <c r="R16" s="66">
        <f>IF(AND(F16="✓",G16="✓",H16&gt;=3,I16&gt;=4,J16&gt;=1,K16&gt;=150),"Complete","In Progress")</f>
        <v/>
      </c>
      <c r="S16" s="66" t="inlineStr">
        <is>
          <t>Complete</t>
        </is>
      </c>
      <c r="T16" s="66" t="inlineStr">
        <is>
          <t>Complete</t>
        </is>
      </c>
      <c r="U16" s="53" t="inlineStr">
        <is>
          <t>Yes</t>
        </is>
      </c>
      <c r="V16" s="66" t="inlineStr">
        <is>
          <t>2026-04-28</t>
        </is>
      </c>
      <c r="W16" s="62" t="inlineStr">
        <is>
          <t>Single yacht-class ship in French Polynesia; owned by Ponant</t>
        </is>
      </c>
    </row>
    <row r="17" ht="36" customHeight="1" s="44">
      <c r="A17" s="51" t="n">
        <v>16</v>
      </c>
      <c r="B17" s="60" t="inlineStr">
        <is>
          <t>star-clippers</t>
        </is>
      </c>
      <c r="C17" s="59" t="inlineStr">
        <is>
          <t>Star Clippers</t>
        </is>
      </c>
      <c r="D17" s="60" t="inlineStr">
        <is>
          <t>The romance of sailing under canvas.</t>
        </is>
      </c>
      <c r="E17" s="79" t="inlineStr">
        <is>
          <t>Premium</t>
        </is>
      </c>
      <c r="F17" s="73" t="inlineStr">
        <is>
          <t>✓</t>
        </is>
      </c>
      <c r="G17" s="74" t="n"/>
      <c r="H17" s="74" t="n"/>
      <c r="I17" s="73" t="inlineStr">
        <is>
          <t>✓</t>
        </is>
      </c>
      <c r="J17" s="51" t="inlineStr">
        <is>
          <t>✓</t>
        </is>
      </c>
      <c r="K17" s="51" t="inlineStr">
        <is>
          <t>✓</t>
        </is>
      </c>
      <c r="L17" s="51" t="n">
        <v>4</v>
      </c>
      <c r="M17" s="51" t="n">
        <v>6</v>
      </c>
      <c r="N17" s="51" t="n">
        <v>3</v>
      </c>
      <c r="O17" s="51" t="n">
        <v>230</v>
      </c>
      <c r="P17" s="75" t="inlineStr">
        <is>
          <t>/t4/[agentId]/find-cruise/star-clippers</t>
        </is>
      </c>
      <c r="Q17" s="51" t="inlineStr">
        <is>
          <t>Yes</t>
        </is>
      </c>
      <c r="R17" s="64">
        <f>IF(AND(F17="✓",G17="✓",H17&gt;=3,I17&gt;=4,J17&gt;=1,K17&gt;=150),"Complete","In Progress")</f>
        <v/>
      </c>
      <c r="S17" s="64" t="inlineStr">
        <is>
          <t>Complete</t>
        </is>
      </c>
      <c r="T17" s="64" t="inlineStr">
        <is>
          <t>Complete</t>
        </is>
      </c>
      <c r="U17" s="51" t="inlineStr">
        <is>
          <t>Yes</t>
        </is>
      </c>
      <c r="V17" s="64" t="inlineStr">
        <is>
          <t>2026-04-28</t>
        </is>
      </c>
      <c r="W17" s="60" t="inlineStr">
        <is>
          <t>Tall ship sailing yacht</t>
        </is>
      </c>
    </row>
    <row r="18" ht="36" customHeight="1" s="44">
      <c r="A18" s="53" t="n">
        <v>17</v>
      </c>
      <c r="B18" s="62" t="inlineStr">
        <is>
          <t>scenic</t>
        </is>
      </c>
      <c r="C18" s="61" t="inlineStr">
        <is>
          <t>Scenic</t>
        </is>
      </c>
      <c r="D18" s="62" t="inlineStr">
        <is>
          <t>Ultra-luxury. All the way to the poles.</t>
        </is>
      </c>
      <c r="E18" s="68" t="inlineStr">
        <is>
          <t>Luxury</t>
        </is>
      </c>
      <c r="F18" s="69" t="inlineStr">
        <is>
          <t>✓</t>
        </is>
      </c>
      <c r="G18" s="69" t="inlineStr">
        <is>
          <t>✓</t>
        </is>
      </c>
      <c r="H18" s="69" t="inlineStr">
        <is>
          <t>✓</t>
        </is>
      </c>
      <c r="I18" s="70" t="n"/>
      <c r="J18" s="53" t="inlineStr">
        <is>
          <t>✓</t>
        </is>
      </c>
      <c r="K18" s="53" t="inlineStr">
        <is>
          <t>✓</t>
        </is>
      </c>
      <c r="L18" s="53" t="n">
        <v>11</v>
      </c>
      <c r="M18" s="53" t="n">
        <v>6</v>
      </c>
      <c r="N18" s="53" t="n">
        <v>2</v>
      </c>
      <c r="O18" s="53" t="n">
        <v>254</v>
      </c>
      <c r="P18" s="71" t="inlineStr">
        <is>
          <t>/t4/[agentId]/find-cruise/scenic</t>
        </is>
      </c>
      <c r="Q18" s="53" t="inlineStr">
        <is>
          <t>Yes</t>
        </is>
      </c>
      <c r="R18" s="66">
        <f>IF(AND(F18="✓",G18="✓",H18&gt;=3,I18&gt;=4,J18&gt;=1,K18&gt;=150),"Complete","In Progress")</f>
        <v/>
      </c>
      <c r="S18" s="66" t="inlineStr">
        <is>
          <t>Complete</t>
        </is>
      </c>
      <c r="T18" s="66" t="inlineStr">
        <is>
          <t>Complete</t>
        </is>
      </c>
      <c r="U18" s="53" t="inlineStr">
        <is>
          <t>Yes</t>
        </is>
      </c>
      <c r="V18" s="76" t="inlineStr">
        <is>
          <t>2026-05-12</t>
        </is>
      </c>
      <c r="W18" s="62" t="inlineStr">
        <is>
          <t>Scenic Eclipse I+II = discovery yachts (expedition); river fleet; RECLASSIFIED add expedition</t>
        </is>
      </c>
    </row>
    <row r="19" ht="36" customHeight="1" s="44">
      <c r="A19" s="51" t="n">
        <v>18</v>
      </c>
      <c r="B19" s="60" t="inlineStr">
        <is>
          <t>crystal</t>
        </is>
      </c>
      <c r="C19" s="59" t="inlineStr">
        <is>
          <t>Crystal Cruises</t>
        </is>
      </c>
      <c r="D19" s="60" t="inlineStr">
        <is>
          <t>The world's most awarded luxury cruise line. Reborn.</t>
        </is>
      </c>
      <c r="E19" s="72" t="inlineStr">
        <is>
          <t>Luxury</t>
        </is>
      </c>
      <c r="F19" s="73" t="inlineStr">
        <is>
          <t>✓</t>
        </is>
      </c>
      <c r="G19" s="74" t="n"/>
      <c r="H19" s="73" t="inlineStr">
        <is>
          <t>✓</t>
        </is>
      </c>
      <c r="I19" s="74" t="n"/>
      <c r="J19" s="51" t="inlineStr">
        <is>
          <t>✓</t>
        </is>
      </c>
      <c r="K19" s="51" t="inlineStr">
        <is>
          <t>✓</t>
        </is>
      </c>
      <c r="L19" s="51" t="n">
        <v>14</v>
      </c>
      <c r="M19" s="51" t="n">
        <v>6</v>
      </c>
      <c r="N19" s="51" t="n">
        <v>3</v>
      </c>
      <c r="O19" s="51" t="n">
        <v>253</v>
      </c>
      <c r="P19" s="75" t="inlineStr">
        <is>
          <t>/t4/[agentId]/find-cruise/crystal</t>
        </is>
      </c>
      <c r="Q19" s="51" t="inlineStr">
        <is>
          <t>Yes</t>
        </is>
      </c>
      <c r="R19" s="64">
        <f>IF(AND(F19="✓",G19="✓",H19&gt;=3,I19&gt;=4,J19&gt;=1,K19&gt;=150),"Complete","In Progress")</f>
        <v/>
      </c>
      <c r="S19" s="64" t="inlineStr">
        <is>
          <t>Complete</t>
        </is>
      </c>
      <c r="T19" s="64" t="inlineStr">
        <is>
          <t>Complete</t>
        </is>
      </c>
      <c r="U19" s="51" t="inlineStr">
        <is>
          <t>Yes</t>
        </is>
      </c>
      <c r="V19" s="83" t="inlineStr">
        <is>
          <t>2026-05-12</t>
        </is>
      </c>
      <c r="W19" s="60" t="inlineStr">
        <is>
          <t>Reborn under A&amp;K — Symphony+Serenity ocean, Endeavor expedition. RIVER DISCONTINUED post-bankruptcy; yacht (Esprit) sold</t>
        </is>
      </c>
    </row>
    <row r="20" ht="36" customHeight="1" s="44">
      <c r="A20" s="53" t="n">
        <v>19</v>
      </c>
      <c r="B20" s="62" t="inlineStr">
        <is>
          <t>viking</t>
        </is>
      </c>
      <c r="C20" s="61" t="inlineStr">
        <is>
          <t>Viking</t>
        </is>
      </c>
      <c r="D20" s="62" t="inlineStr">
        <is>
          <t>Exploring the world in comfort.</t>
        </is>
      </c>
      <c r="E20" s="80" t="inlineStr">
        <is>
          <t>Premium-Plus</t>
        </is>
      </c>
      <c r="F20" s="69" t="inlineStr">
        <is>
          <t>✓</t>
        </is>
      </c>
      <c r="G20" s="69" t="inlineStr">
        <is>
          <t>✓</t>
        </is>
      </c>
      <c r="H20" s="69" t="inlineStr">
        <is>
          <t>✓</t>
        </is>
      </c>
      <c r="I20" s="70" t="n"/>
      <c r="J20" s="53" t="inlineStr">
        <is>
          <t>✓</t>
        </is>
      </c>
      <c r="K20" s="53" t="inlineStr">
        <is>
          <t>✓</t>
        </is>
      </c>
      <c r="L20" s="53" t="n">
        <v>4</v>
      </c>
      <c r="M20" s="53" t="n">
        <v>6</v>
      </c>
      <c r="N20" s="53" t="n">
        <v>4</v>
      </c>
      <c r="O20" s="53" t="n">
        <v>258</v>
      </c>
      <c r="P20" s="71" t="inlineStr">
        <is>
          <t>/t4/[agentId]/find-cruise/viking</t>
        </is>
      </c>
      <c r="Q20" s="53" t="inlineStr">
        <is>
          <t>Yes</t>
        </is>
      </c>
      <c r="R20" s="66">
        <f>IF(AND(F20="✓",G20="✓",H20&gt;=3,I20&gt;=4,J20&gt;=1,K20&gt;=150),"Complete","In Progress")</f>
        <v/>
      </c>
      <c r="S20" s="66" t="inlineStr">
        <is>
          <t>Complete</t>
        </is>
      </c>
      <c r="T20" s="66" t="inlineStr">
        <is>
          <t>Complete</t>
        </is>
      </c>
      <c r="U20" s="53" t="inlineStr">
        <is>
          <t>Yes</t>
        </is>
      </c>
      <c r="V20" s="76" t="inlineStr">
        <is>
          <t>2026-05-12</t>
        </is>
      </c>
      <c r="W20" s="62" t="inlineStr">
        <is>
          <t>Ocean fleet, Longships river, Octantis+Polaris expedition; RECLASSIFIED add expedition</t>
        </is>
      </c>
    </row>
    <row r="21" ht="36" customHeight="1" s="44">
      <c r="A21" s="51" t="n">
        <v>20</v>
      </c>
      <c r="B21" s="60" t="inlineStr">
        <is>
          <t>amawaterways</t>
        </is>
      </c>
      <c r="C21" s="59" t="inlineStr">
        <is>
          <t>AmaWaterways</t>
        </is>
      </c>
      <c r="D21" s="60" t="inlineStr">
        <is>
          <t>The most award-winning river cruise line in the world.</t>
        </is>
      </c>
      <c r="E21" s="72" t="inlineStr">
        <is>
          <t>Luxury</t>
        </is>
      </c>
      <c r="F21" s="74" t="n"/>
      <c r="G21" s="73" t="inlineStr">
        <is>
          <t>✓</t>
        </is>
      </c>
      <c r="H21" s="74" t="n"/>
      <c r="I21" s="74" t="n"/>
      <c r="J21" s="51" t="inlineStr">
        <is>
          <t>✓</t>
        </is>
      </c>
      <c r="K21" s="51" t="inlineStr">
        <is>
          <t>✓</t>
        </is>
      </c>
      <c r="L21" s="51" t="n">
        <v>9</v>
      </c>
      <c r="M21" s="51" t="n">
        <v>6</v>
      </c>
      <c r="N21" s="51" t="n">
        <v>4</v>
      </c>
      <c r="O21" s="51" t="n">
        <v>229</v>
      </c>
      <c r="P21" s="75" t="inlineStr">
        <is>
          <t>/t4/[agentId]/find-cruise/amawaterways</t>
        </is>
      </c>
      <c r="Q21" s="51" t="inlineStr">
        <is>
          <t>Yes</t>
        </is>
      </c>
      <c r="R21" s="64">
        <f>IF(AND(F21="✓",G21="✓",H21&gt;=3,I21&gt;=4,J21&gt;=1,K21&gt;=150),"Complete","In Progress")</f>
        <v/>
      </c>
      <c r="S21" s="64" t="inlineStr">
        <is>
          <t>Complete</t>
        </is>
      </c>
      <c r="T21" s="64" t="inlineStr">
        <is>
          <t>Complete</t>
        </is>
      </c>
      <c r="U21" s="51" t="inlineStr">
        <is>
          <t>Yes</t>
        </is>
      </c>
      <c r="V21" s="64" t="inlineStr">
        <is>
          <t>2026-04-28</t>
        </is>
      </c>
      <c r="W21" s="60" t="inlineStr">
        <is>
          <t>Pure river — most-awarded river cruise line</t>
        </is>
      </c>
    </row>
    <row r="22" ht="36" customHeight="1" s="44">
      <c r="A22" s="53" t="n">
        <v>21</v>
      </c>
      <c r="B22" s="62" t="inlineStr">
        <is>
          <t>uniworld</t>
        </is>
      </c>
      <c r="C22" s="61" t="inlineStr">
        <is>
          <t>Uniworld</t>
        </is>
      </c>
      <c r="D22" s="62" t="inlineStr">
        <is>
          <t>The world's most luxurious all-inclusive river cruise line.</t>
        </is>
      </c>
      <c r="E22" s="68" t="inlineStr">
        <is>
          <t>Luxury</t>
        </is>
      </c>
      <c r="F22" s="70" t="n"/>
      <c r="G22" s="69" t="inlineStr">
        <is>
          <t>✓</t>
        </is>
      </c>
      <c r="H22" s="70" t="n"/>
      <c r="I22" s="70" t="n"/>
      <c r="J22" s="53" t="inlineStr">
        <is>
          <t>✓</t>
        </is>
      </c>
      <c r="K22" s="53" t="inlineStr">
        <is>
          <t>✓</t>
        </is>
      </c>
      <c r="L22" s="53" t="n">
        <v>2</v>
      </c>
      <c r="M22" s="53" t="n">
        <v>6</v>
      </c>
      <c r="N22" s="53" t="n">
        <v>4</v>
      </c>
      <c r="O22" s="53" t="n">
        <v>251</v>
      </c>
      <c r="P22" s="71" t="inlineStr">
        <is>
          <t>/t4/[agentId]/find-cruise/uniworld</t>
        </is>
      </c>
      <c r="Q22" s="53" t="inlineStr">
        <is>
          <t>Yes</t>
        </is>
      </c>
      <c r="R22" s="66">
        <f>IF(AND(F22="✓",G22="✓",H22&gt;=3,I22&gt;=4,J22&gt;=1,K22&gt;=150),"Complete","In Progress")</f>
        <v/>
      </c>
      <c r="S22" s="66" t="inlineStr">
        <is>
          <t>Complete</t>
        </is>
      </c>
      <c r="T22" s="66" t="inlineStr">
        <is>
          <t>Complete</t>
        </is>
      </c>
      <c r="U22" s="53" t="inlineStr">
        <is>
          <t>Yes</t>
        </is>
      </c>
      <c r="V22" s="66" t="inlineStr">
        <is>
          <t>2026-04-28</t>
        </is>
      </c>
      <c r="W22" s="62" t="inlineStr">
        <is>
          <t>Pure river — luxury all-inclusive</t>
        </is>
      </c>
    </row>
    <row r="23" ht="36" customHeight="1" s="44">
      <c r="A23" s="51" t="n">
        <v>22</v>
      </c>
      <c r="B23" s="60" t="inlineStr">
        <is>
          <t>four-seasons-yachts</t>
        </is>
      </c>
      <c r="C23" s="59" t="inlineStr">
        <is>
          <t>Four Seasons Yachts</t>
        </is>
      </c>
      <c r="D23" s="60" t="inlineStr">
        <is>
          <t>The Four Seasons experience, reimagined at sea.</t>
        </is>
      </c>
      <c r="E23" s="85" t="inlineStr">
        <is>
          <t>Ultra-Luxury</t>
        </is>
      </c>
      <c r="F23" s="74" t="n"/>
      <c r="G23" s="74" t="n"/>
      <c r="H23" s="74" t="n"/>
      <c r="I23" s="73" t="inlineStr">
        <is>
          <t>✓</t>
        </is>
      </c>
      <c r="J23" s="51" t="inlineStr">
        <is>
          <t>✓</t>
        </is>
      </c>
      <c r="K23" s="51" t="inlineStr">
        <is>
          <t>✓</t>
        </is>
      </c>
      <c r="L23" s="51" t="n">
        <v>3</v>
      </c>
      <c r="M23" s="51" t="n">
        <v>6</v>
      </c>
      <c r="N23" s="51" t="n">
        <v>1</v>
      </c>
      <c r="O23" s="51" t="n">
        <v>224</v>
      </c>
      <c r="P23" s="75" t="inlineStr">
        <is>
          <t>/t4/[agentId]/find-cruise/four-seasons-yachts</t>
        </is>
      </c>
      <c r="Q23" s="51" t="inlineStr">
        <is>
          <t>Yes</t>
        </is>
      </c>
      <c r="R23" s="64">
        <f>IF(AND(F23="✓",G23="✓",H23&gt;=3,I23&gt;=4,J23&gt;=1,K23&gt;=150),"Complete","In Progress")</f>
        <v/>
      </c>
      <c r="S23" s="64" t="inlineStr">
        <is>
          <t>Complete</t>
        </is>
      </c>
      <c r="T23" s="64" t="inlineStr">
        <is>
          <t>Complete</t>
        </is>
      </c>
      <c r="U23" s="51" t="inlineStr">
        <is>
          <t>Yes</t>
        </is>
      </c>
      <c r="V23" s="64" t="inlineStr">
        <is>
          <t>2026-04-28</t>
        </is>
      </c>
      <c r="W23" s="60" t="inlineStr">
        <is>
          <t>Launched 2025</t>
        </is>
      </c>
    </row>
    <row r="24" ht="36" customHeight="1" s="44">
      <c r="A24" s="53" t="n">
        <v>23</v>
      </c>
      <c r="B24" s="62" t="inlineStr">
        <is>
          <t>virgin-voyages</t>
        </is>
      </c>
      <c r="C24" s="61" t="inlineStr">
        <is>
          <t>Virgin Voyages</t>
        </is>
      </c>
      <c r="D24" s="62" t="inlineStr">
        <is>
          <t>Brilliant at sea. Always adult.</t>
        </is>
      </c>
      <c r="E24" s="78" t="inlineStr">
        <is>
          <t>Premium</t>
        </is>
      </c>
      <c r="F24" s="69" t="inlineStr">
        <is>
          <t>✓</t>
        </is>
      </c>
      <c r="G24" s="70" t="n"/>
      <c r="H24" s="70" t="n"/>
      <c r="I24" s="70" t="n"/>
      <c r="J24" s="53" t="inlineStr">
        <is>
          <t>✓</t>
        </is>
      </c>
      <c r="K24" s="53" t="inlineStr">
        <is>
          <t>✓</t>
        </is>
      </c>
      <c r="L24" s="53" t="n">
        <v>10</v>
      </c>
      <c r="M24" s="53" t="n">
        <v>6</v>
      </c>
      <c r="N24" s="53" t="n">
        <v>4</v>
      </c>
      <c r="O24" s="53" t="n">
        <v>208</v>
      </c>
      <c r="P24" s="71" t="inlineStr">
        <is>
          <t>/t4/[agentId]/find-cruise/virgin-voyages</t>
        </is>
      </c>
      <c r="Q24" s="53" t="inlineStr">
        <is>
          <t>Yes</t>
        </is>
      </c>
      <c r="R24" s="66">
        <f>IF(AND(F24="✓",G24="✓",H24&gt;=3,I24&gt;=4,J24&gt;=1,K24&gt;=150),"Complete","In Progress")</f>
        <v/>
      </c>
      <c r="S24" s="66" t="inlineStr">
        <is>
          <t>Complete</t>
        </is>
      </c>
      <c r="T24" s="66" t="inlineStr">
        <is>
          <t>Complete</t>
        </is>
      </c>
      <c r="U24" s="53" t="inlineStr">
        <is>
          <t>Yes</t>
        </is>
      </c>
      <c r="V24" s="66" t="inlineStr">
        <is>
          <t>2026-04-28</t>
        </is>
      </c>
      <c r="W24" s="62" t="inlineStr">
        <is>
          <t>Adult-only contemporary luxury</t>
        </is>
      </c>
    </row>
    <row r="25" ht="36" customHeight="1" s="44">
      <c r="A25" s="51" t="n">
        <v>24</v>
      </c>
      <c r="B25" s="60" t="inlineStr">
        <is>
          <t>windstar</t>
        </is>
      </c>
      <c r="C25" s="59" t="inlineStr">
        <is>
          <t>Windstar Cruises</t>
        </is>
      </c>
      <c r="D25" s="60" t="inlineStr">
        <is>
          <t>180° from ordinary.</t>
        </is>
      </c>
      <c r="E25" s="77" t="inlineStr">
        <is>
          <t>Premium-Plus</t>
        </is>
      </c>
      <c r="F25" s="73" t="inlineStr">
        <is>
          <t>✓</t>
        </is>
      </c>
      <c r="G25" s="74" t="n"/>
      <c r="H25" s="74" t="n"/>
      <c r="I25" s="73" t="inlineStr">
        <is>
          <t>✓</t>
        </is>
      </c>
      <c r="J25" s="51" t="inlineStr">
        <is>
          <t>✓</t>
        </is>
      </c>
      <c r="K25" s="51" t="inlineStr">
        <is>
          <t>✓</t>
        </is>
      </c>
      <c r="L25" s="51" t="n">
        <v>1</v>
      </c>
      <c r="M25" s="51" t="n">
        <v>6</v>
      </c>
      <c r="N25" s="51" t="n">
        <v>4</v>
      </c>
      <c r="O25" s="51" t="n">
        <v>260</v>
      </c>
      <c r="P25" s="75" t="inlineStr">
        <is>
          <t>/t4/[agentId]/find-cruise/windstar</t>
        </is>
      </c>
      <c r="Q25" s="51" t="inlineStr">
        <is>
          <t>Yes</t>
        </is>
      </c>
      <c r="R25" s="64">
        <f>IF(AND(F25="✓",G25="✓",H25&gt;=3,I25&gt;=4,J25&gt;=1,K25&gt;=150),"Complete","In Progress")</f>
        <v/>
      </c>
      <c r="S25" s="64" t="inlineStr">
        <is>
          <t>Complete</t>
        </is>
      </c>
      <c r="T25" s="64" t="inlineStr">
        <is>
          <t>Complete</t>
        </is>
      </c>
      <c r="U25" s="51" t="inlineStr">
        <is>
          <t>Yes</t>
        </is>
      </c>
      <c r="V25" s="64" t="inlineStr">
        <is>
          <t>2026-04-28</t>
        </is>
      </c>
      <c r="W25" s="60" t="inlineStr">
        <is>
          <t>Sail yachts (Wind Star/Spirit/Surf) + all-suite Star Breeze/Pride/Legend</t>
        </is>
      </c>
    </row>
    <row r="26" ht="36" customHeight="1" s="44">
      <c r="A26" s="53" t="n">
        <v>25</v>
      </c>
      <c r="B26" s="62" t="inlineStr">
        <is>
          <t>aman-at-sea</t>
        </is>
      </c>
      <c r="C26" s="61" t="inlineStr">
        <is>
          <t>Aman at Sea</t>
        </is>
      </c>
      <c r="D26" s="62" t="inlineStr">
        <is>
          <t>Aman's first voyage. A yacht at sea, by Aman.</t>
        </is>
      </c>
      <c r="E26" s="86" t="inlineStr">
        <is>
          <t>Ultra-Luxury</t>
        </is>
      </c>
      <c r="F26" s="70" t="n"/>
      <c r="G26" s="70" t="n"/>
      <c r="H26" s="70" t="n"/>
      <c r="I26" s="69" t="inlineStr">
        <is>
          <t>✓</t>
        </is>
      </c>
      <c r="J26" s="53" t="n"/>
      <c r="K26" s="53" t="n"/>
      <c r="L26" s="53" t="n">
        <v>0</v>
      </c>
      <c r="M26" s="53" t="n">
        <v>0</v>
      </c>
      <c r="N26" s="53" t="n">
        <v>0</v>
      </c>
      <c r="O26" s="53" t="n">
        <v>0</v>
      </c>
      <c r="P26" s="71" t="inlineStr">
        <is>
          <t>/t4/[agentId]/find-cruise/aman-at-sea</t>
        </is>
      </c>
      <c r="Q26" s="53" t="inlineStr">
        <is>
          <t>Yes</t>
        </is>
      </c>
      <c r="R26" s="66" t="inlineStr">
        <is>
          <t>In Progress</t>
        </is>
      </c>
      <c r="S26" s="66" t="inlineStr">
        <is>
          <t>Complete</t>
        </is>
      </c>
      <c r="T26" s="66" t="inlineStr">
        <is>
          <t>Complete</t>
        </is>
      </c>
      <c r="U26" s="53" t="inlineStr">
        <is>
          <t>Yes</t>
        </is>
      </c>
      <c r="V26" s="87" t="n">
        <v>46154</v>
      </c>
      <c r="W26" s="62" t="inlineStr">
        <is>
          <t>NEW — Aman's first yacht (Project Sama, 50 suites). Production page TO DO.</t>
        </is>
      </c>
    </row>
    <row r="27" ht="36" customHeight="1" s="44">
      <c r="A27" s="51" t="n">
        <v>26</v>
      </c>
      <c r="B27" s="60" t="inlineStr">
        <is>
          <t>ritz-carlton-yacht</t>
        </is>
      </c>
      <c r="C27" s="59" t="inlineStr">
        <is>
          <t>The Ritz-Carlton Yacht Collection</t>
        </is>
      </c>
      <c r="D27" s="60" t="inlineStr">
        <is>
          <t>Yachting redefined. The Ritz-Carlton, at sea.</t>
        </is>
      </c>
      <c r="E27" s="85" t="inlineStr">
        <is>
          <t>Ultra-Luxury</t>
        </is>
      </c>
      <c r="F27" s="73" t="inlineStr">
        <is>
          <t>✓</t>
        </is>
      </c>
      <c r="G27" s="74" t="n"/>
      <c r="H27" s="74" t="n"/>
      <c r="I27" s="73" t="inlineStr">
        <is>
          <t>✓</t>
        </is>
      </c>
      <c r="J27" s="51" t="n"/>
      <c r="K27" s="51" t="n"/>
      <c r="L27" s="51" t="n">
        <v>0</v>
      </c>
      <c r="M27" s="51" t="n">
        <v>0</v>
      </c>
      <c r="N27" s="51" t="n">
        <v>0</v>
      </c>
      <c r="O27" s="51" t="n">
        <v>0</v>
      </c>
      <c r="P27" s="75" t="inlineStr">
        <is>
          <t>/t4/[agentId]/find-cruise/ritz-carlton-yacht</t>
        </is>
      </c>
      <c r="Q27" s="51" t="inlineStr">
        <is>
          <t>Yes</t>
        </is>
      </c>
      <c r="R27" s="64" t="inlineStr">
        <is>
          <t>In Progress</t>
        </is>
      </c>
      <c r="S27" s="64" t="inlineStr">
        <is>
          <t>Complete</t>
        </is>
      </c>
      <c r="T27" s="64" t="inlineStr">
        <is>
          <t>Complete</t>
        </is>
      </c>
      <c r="U27" s="51" t="inlineStr">
        <is>
          <t>Yes</t>
        </is>
      </c>
      <c r="V27" s="88" t="n">
        <v>46154</v>
      </c>
      <c r="W27" s="60" t="inlineStr">
        <is>
          <t>NEW — Evrima (2022), Ilma (2024), Luminara (2025/2026). Yacht-class small ships running ocean itineraries. Production page TO DO.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2026-05-12T23:03:40Z</dcterms:created>
  <dcterms:modified xsi:type="dcterms:W3CDTF">2026-05-13T01:10:26Z</dcterms:modified>
  <cp:revision>0</cp:revision>
</cp:coreProperties>
</file>